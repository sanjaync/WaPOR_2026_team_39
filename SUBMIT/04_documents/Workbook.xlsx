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ssumptions" sheetId="2" state="visible" r:id="rId2"/>
    <sheet xmlns:r="http://schemas.openxmlformats.org/officeDocument/2006/relationships" name="Districts" sheetId="3" state="visible" r:id="rId3"/>
    <sheet xmlns:r="http://schemas.openxmlformats.org/officeDocument/2006/relationships" name="Ranked options" sheetId="4" state="visible" r:id="rId4"/>
    <sheet xmlns:r="http://schemas.openxmlformats.org/officeDocument/2006/relationships" name="Allocation" sheetId="5" state="visible" r:id="rId5"/>
    <sheet xmlns:r="http://schemas.openxmlformats.org/officeDocument/2006/relationships" name="Information value" sheetId="6" state="visible" r:id="rId6"/>
    <sheet xmlns:r="http://schemas.openxmlformats.org/officeDocument/2006/relationships" name="Equity" sheetId="7" state="visible" r:id="rId7"/>
    <sheet xmlns:r="http://schemas.openxmlformats.org/officeDocument/2006/relationships" name="Sensitivity" sheetId="8" state="visible" r:id="rId8"/>
  </sheets>
  <definedNames/>
  <calcPr calcId="124519" fullCalcOnLoad="1"/>
</workbook>
</file>

<file path=xl/styles.xml><?xml version="1.0" encoding="utf-8"?>
<styleSheet xmlns="http://schemas.openxmlformats.org/spreadsheetml/2006/main">
  <numFmts count="4">
    <numFmt numFmtId="164" formatCode="$#,##0"/>
    <numFmt numFmtId="165" formatCode="#,##0.0"/>
    <numFmt numFmtId="166" formatCode="$0.000"/>
    <numFmt numFmtId="167" formatCode="0.0%"/>
  </numFmts>
  <fonts count="8">
    <font>
      <name val="Calibri"/>
      <family val="2"/>
      <color theme="1"/>
      <sz val="11"/>
      <scheme val="minor"/>
    </font>
    <font>
      <name val="Arial"/>
      <b val="1"/>
      <sz val="14"/>
    </font>
    <font>
      <name val="Arial"/>
      <sz val="10"/>
    </font>
    <font>
      <name val="Arial"/>
      <b val="1"/>
      <color rgb="00C00000"/>
      <sz val="11"/>
    </font>
    <font>
      <name val="Arial"/>
      <b val="1"/>
      <sz val="10"/>
    </font>
    <font>
      <name val="Arial"/>
      <b val="1"/>
      <color rgb="00FFFFFF"/>
      <sz val="10"/>
    </font>
    <font>
      <name val="Arial"/>
      <i val="1"/>
      <color rgb="00666666"/>
      <sz val="9"/>
    </font>
    <font>
      <name val="Arial"/>
      <color rgb="000000FF"/>
      <sz val="10"/>
    </font>
  </fonts>
  <fills count="4">
    <fill>
      <patternFill/>
    </fill>
    <fill>
      <patternFill patternType="gray125"/>
    </fill>
    <fill>
      <patternFill patternType="solid">
        <fgColor rgb="000B3C5D"/>
      </patternFill>
    </fill>
    <fill>
      <patternFill patternType="solid">
        <fgColor rgb="00FFFF00"/>
      </patternFill>
    </fill>
  </fills>
  <borders count="2">
    <border>
      <left/>
      <right/>
      <top/>
      <bottom/>
      <diagonal/>
    </border>
    <border>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0" pivotButton="0" quotePrefix="0" xfId="0"/>
    <xf numFmtId="0" fontId="6" fillId="0" borderId="0" pivotButton="0" quotePrefix="0" xfId="0"/>
    <xf numFmtId="0" fontId="5" fillId="2" borderId="0" applyAlignment="1" pivotButton="0" quotePrefix="0" xfId="0">
      <alignment vertical="center" wrapText="1"/>
    </xf>
    <xf numFmtId="0" fontId="4" fillId="0" borderId="1" pivotButton="0" quotePrefix="0" xfId="0"/>
    <xf numFmtId="164" fontId="7" fillId="3" borderId="1" pivotButton="0" quotePrefix="0" xfId="0"/>
    <xf numFmtId="0" fontId="7" fillId="3" borderId="1" pivotButton="0" quotePrefix="0" xfId="0"/>
    <xf numFmtId="9" fontId="7" fillId="3" borderId="1" pivotButton="0" quotePrefix="0" xfId="0"/>
    <xf numFmtId="0" fontId="2" fillId="0" borderId="1" pivotButton="0" quotePrefix="0" xfId="0"/>
    <xf numFmtId="0" fontId="6" fillId="0" borderId="1" applyAlignment="1" pivotButton="0" quotePrefix="0" xfId="0">
      <alignment vertical="top" wrapText="1"/>
    </xf>
    <xf numFmtId="0" fontId="4" fillId="0" borderId="0" pivotButton="0" quotePrefix="0" xfId="0"/>
    <xf numFmtId="164" fontId="7" fillId="3" borderId="0" pivotButton="0" quotePrefix="0" xfId="0"/>
    <xf numFmtId="0" fontId="2" fillId="0" borderId="0" pivotButton="0" quotePrefix="0" xfId="0"/>
    <xf numFmtId="3" fontId="7" fillId="0" borderId="1" pivotButton="0" quotePrefix="0" xfId="0"/>
    <xf numFmtId="2" fontId="2" fillId="0" borderId="1" pivotButton="0" quotePrefix="0" xfId="0"/>
    <xf numFmtId="3" fontId="2" fillId="0" borderId="1" pivotButton="0" quotePrefix="0" xfId="0"/>
    <xf numFmtId="3" fontId="4" fillId="0" borderId="0" pivotButton="0" quotePrefix="0" xfId="0"/>
    <xf numFmtId="165" fontId="2" fillId="0" borderId="1" pivotButton="0" quotePrefix="0" xfId="0"/>
    <xf numFmtId="164" fontId="2" fillId="0" borderId="1" pivotButton="0" quotePrefix="0" xfId="0"/>
    <xf numFmtId="166" fontId="2" fillId="0" borderId="1" pivotButton="0" quotePrefix="0" xfId="0"/>
    <xf numFmtId="164" fontId="4" fillId="0" borderId="0" pivotButton="0" quotePrefix="0" xfId="0"/>
    <xf numFmtId="165" fontId="4" fillId="0" borderId="0" pivotButton="0" quotePrefix="0" xfId="0"/>
    <xf numFmtId="9" fontId="4" fillId="0" borderId="0" pivotButton="0" quotePrefix="0" xfId="0"/>
    <xf numFmtId="166" fontId="4" fillId="0" borderId="0" pivotButton="0" quotePrefix="0" xfId="0"/>
    <xf numFmtId="0" fontId="6" fillId="0" borderId="1" pivotButton="0" quotePrefix="0" xfId="0"/>
    <xf numFmtId="9" fontId="4" fillId="0" borderId="1" pivotButton="0" quotePrefix="0" xfId="0"/>
    <xf numFmtId="167"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showGridLines="0" workbookViewId="0">
      <selection activeCell="A1" sqref="A1"/>
    </sheetView>
  </sheetViews>
  <sheetFormatPr baseColWidth="8" defaultRowHeight="15"/>
  <cols>
    <col width="112" customWidth="1" min="1" max="1"/>
  </cols>
  <sheetData>
    <row r="1">
      <c r="A1" s="1" t="inlineStr">
        <is>
          <t>Same Budget, More Water - WaPOR Hackathon 2026, Team 39</t>
        </is>
      </c>
    </row>
    <row r="2">
      <c r="A2" s="2" t="inlineStr">
        <is>
          <t>Targeting Egypt's on-farm modernisation budget using the WaPOR v3 evaporation/transpiration split</t>
        </is>
      </c>
    </row>
    <row r="3">
      <c r="A3" s="2" t="inlineStr"/>
    </row>
    <row r="4">
      <c r="A4" s="3" t="inlineStr">
        <is>
          <t>Source: FAO WaPOR v3 Level 2 (100 m, dekadal)</t>
        </is>
      </c>
    </row>
    <row r="5">
      <c r="A5" s="2" t="inlineStr"/>
    </row>
    <row r="6">
      <c r="A6" s="2" t="inlineStr"/>
    </row>
    <row r="7">
      <c r="A7" s="4" t="inlineStr">
        <is>
          <t>THE IDEA</t>
        </is>
      </c>
    </row>
    <row r="8">
      <c r="A8" s="2" t="inlineStr">
        <is>
          <t>IPAT - the irrigation assessment tool already operating at Egypt's Ministry of Water Resources and Irrigation,</t>
        </is>
      </c>
    </row>
    <row r="9">
      <c r="A9" s="2" t="inlineStr">
        <is>
          <t>on WaPOR v3 Level 3 (20 m) across ~1.5 Mha of the Middle and West Delta - shows WHERE productivity is high</t>
        </is>
      </c>
    </row>
    <row r="10">
      <c r="A10" s="2" t="inlineStr">
        <is>
          <t>and low. It stops there. A ministry with a fixed budget still has to decide WHERE TO SPEND.</t>
        </is>
      </c>
    </row>
    <row r="11">
      <c r="A11" s="2" t="inlineStr"/>
    </row>
    <row r="12">
      <c r="A12" s="2" t="inlineStr">
        <is>
          <t>WaPOR reports evaporation (E) and transpiration (T) separately. T grew a crop; E did not. Ranking districts</t>
        </is>
      </c>
    </row>
    <row r="13">
      <c r="A13" s="2" t="inlineStr">
        <is>
          <t>by how much evaporated water is recoverable, and what it costs to recover it, turns a map into a spending list.</t>
        </is>
      </c>
    </row>
    <row r="14">
      <c r="A14" s="2" t="inlineStr"/>
    </row>
    <row r="15">
      <c r="A15" s="4" t="inlineStr">
        <is>
          <t>SHEETS</t>
        </is>
      </c>
    </row>
    <row r="16">
      <c r="A16" s="2" t="inlineStr">
        <is>
          <t>Assumptions       intervention cost model. EDIT THE YELLOW CELLS - everything else recalculates.</t>
        </is>
      </c>
    </row>
    <row r="17">
      <c r="A17" s="2" t="inlineStr">
        <is>
          <t>Districts         per-governorate WaPOR statistics and derived water balance</t>
        </is>
      </c>
    </row>
    <row r="18">
      <c r="A18" s="2" t="inlineStr">
        <is>
          <t>Ranked options    every district x intervention pair, ranked by cost of water saved</t>
        </is>
      </c>
    </row>
    <row r="19">
      <c r="A19" s="2" t="inlineStr">
        <is>
          <t>Allocation        how the budget is spent, and what it buys vs the area-proportional baseline</t>
        </is>
      </c>
    </row>
    <row r="20">
      <c r="A20" s="2" t="inlineStr">
        <is>
          <t>Information value how much of the result is attributable to WaPOR rather than to a textbook</t>
        </is>
      </c>
    </row>
    <row r="21">
      <c r="A21" s="2" t="inlineStr">
        <is>
          <t>Equity            what a minimum-share floor costs in water, and what it buys in adoptability</t>
        </is>
      </c>
    </row>
    <row r="22">
      <c r="A22" s="2" t="inlineStr">
        <is>
          <t>Sensitivity       how the advantage of targeting changes with budget size</t>
        </is>
      </c>
    </row>
    <row r="23">
      <c r="A23" s="2" t="inlineStr"/>
    </row>
    <row r="24">
      <c r="A24" s="4" t="inlineStr">
        <is>
          <t>METHOD</t>
        </is>
      </c>
    </row>
    <row r="25">
      <c r="A25" s="2" t="inlineStr">
        <is>
          <t xml:space="preserve">  recoverable water  V = E_mm x irrigated_ha x 10 x reduction x seasons_per_year   [m3/yr]</t>
        </is>
      </c>
    </row>
    <row r="26">
      <c r="A26" s="2" t="inlineStr">
        <is>
          <t xml:space="preserve">  annualised cost    C = (USD/ha / life_years) x irrigated_ha                      [USD/yr]</t>
        </is>
      </c>
    </row>
    <row r="27">
      <c r="A27" s="2" t="inlineStr">
        <is>
          <t xml:space="preserve">  cost of water      c = C / V                                                     [USD/m3]</t>
        </is>
      </c>
    </row>
    <row r="28">
      <c r="A28" s="2" t="inlineStr">
        <is>
          <t>Sort all pairs by c ascending, spend down the list. Baseline splits the same budget by irrigated area -</t>
        </is>
      </c>
    </row>
    <row r="29">
      <c r="A29" s="2" t="inlineStr">
        <is>
          <t>a NEUTRAL PRIOR, not a documented description of ministry practice. One measure per district.</t>
        </is>
      </c>
    </row>
    <row r="30">
      <c r="A30" s="2" t="inlineStr"/>
    </row>
    <row r="31">
      <c r="A31" s="4" t="inlineStr">
        <is>
          <t>THE LIMITATION TO STATE FIRST</t>
        </is>
      </c>
    </row>
    <row r="32">
      <c r="A32" s="2" t="inlineStr">
        <is>
          <t>On-field evaporation saved is not automatically basin-scale water saved: in a closed system like the Delta</t>
        </is>
      </c>
    </row>
    <row r="33">
      <c r="A33" s="2" t="inlineStr">
        <is>
          <t>some returns to drains and aquifers and is reused, and suppressing evaporation can convert it to transpiration</t>
        </is>
      </c>
    </row>
    <row r="34">
      <c r="A34" s="2" t="inlineStr">
        <is>
          <t>and yield rather than to saved water. Recoverable E is an UPPER BOUND. These figures are for PRIORITISATION,</t>
        </is>
      </c>
    </row>
    <row r="35">
      <c r="A35" s="2" t="inlineStr">
        <is>
          <t>not water accounting.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showGridLines="0" workbookViewId="0">
      <selection activeCell="A1" sqref="A1"/>
    </sheetView>
  </sheetViews>
  <sheetFormatPr baseColWidth="8" defaultRowHeight="15"/>
  <cols>
    <col width="32" customWidth="1" min="1" max="1"/>
    <col width="13" customWidth="1" min="2" max="2"/>
    <col width="11" customWidth="1" min="3" max="3"/>
    <col width="13" customWidth="1" min="4" max="4"/>
    <col width="11" customWidth="1" min="5" max="5"/>
    <col width="30" customWidth="1" min="6" max="6"/>
    <col width="78" customWidth="1" min="7" max="7"/>
  </cols>
  <sheetData>
    <row r="1">
      <c r="A1" s="5" t="inlineStr">
        <is>
          <t>Intervention cost model</t>
        </is>
      </c>
    </row>
    <row r="2">
      <c r="A2" s="6" t="inlineStr">
        <is>
          <t>Literature-order ESTIMATES, not measurements. Yellow cells are inputs - change them and every other sheet recalculates.</t>
        </is>
      </c>
    </row>
    <row r="4">
      <c r="A4" s="7" t="inlineStr">
        <is>
          <t>Intervention</t>
        </is>
      </c>
      <c r="B4" s="7" t="inlineStr">
        <is>
          <t>Cost USD/ha</t>
        </is>
      </c>
      <c r="C4" s="7" t="inlineStr">
        <is>
          <t>Life, years</t>
        </is>
      </c>
      <c r="D4" s="7" t="inlineStr">
        <is>
          <t>Evap. avoided</t>
        </is>
      </c>
      <c r="E4" s="7" t="inlineStr">
        <is>
          <t>Seasons/yr</t>
        </is>
      </c>
      <c r="F4" s="7" t="inlineStr">
        <is>
          <t>Applies to</t>
        </is>
      </c>
      <c r="G4" s="7" t="inlineStr">
        <is>
          <t>Note</t>
        </is>
      </c>
    </row>
    <row r="5" ht="52" customHeight="1">
      <c r="A5" s="8" t="inlineStr">
        <is>
          <t>Laser land levelling</t>
        </is>
      </c>
      <c r="B5" s="9" t="n">
        <v>75</v>
      </c>
      <c r="C5" s="10" t="n">
        <v>5</v>
      </c>
      <c r="D5" s="11" t="n">
        <v>0.1</v>
      </c>
      <c r="E5" s="10" t="n">
        <v>2</v>
      </c>
      <c r="F5" s="12" t="inlineStr">
        <is>
          <t>Delta - rice belt, Delta - other, Nile Valley</t>
        </is>
      </c>
      <c r="G5" s="13" t="inlineStr">
        <is>
          <t>Reduces ponding depth and over-irrigation of high spots, so less standing water and less saturated soil surface. Already deployed at scale in Egypt, so cost and effect are the best constrained of the four. Benefits both summer and winter crops.</t>
        </is>
      </c>
    </row>
    <row r="6" ht="52" customHeight="1">
      <c r="A6" s="8" t="inlineStr">
        <is>
          <t>Alternate wetting &amp; drying (rice)</t>
        </is>
      </c>
      <c r="B6" s="9" t="n">
        <v>25</v>
      </c>
      <c r="C6" s="10" t="n">
        <v>1</v>
      </c>
      <c r="D6" s="11" t="n">
        <v>0.1</v>
      </c>
      <c r="E6" s="10" t="n">
        <v>1</v>
      </c>
      <c r="F6" s="12" t="inlineStr">
        <is>
          <t>Delta - rice belt</t>
        </is>
      </c>
      <c r="G6" s="13" t="inlineStr">
        <is>
          <t>Training + field water tubes. IMPORTANT: AWD's headline saving in the literature is in water APPLIED - percolation and seepage - not in evapotranspiration. In the closed, high-reuse Delta, percolation is largely recovered downstream, so we deliberately exclude it and count ONLY the evaporation component: removing the free water surface for part of the season. Hence 10%, not the 25-30% quoted for total water application.</t>
        </is>
      </c>
    </row>
    <row r="7" ht="52" customHeight="1">
      <c r="A7" s="8" t="inlineStr">
        <is>
          <t>Straw / plastic mulching</t>
        </is>
      </c>
      <c r="B7" s="9" t="n">
        <v>260</v>
      </c>
      <c r="C7" s="10" t="n">
        <v>1</v>
      </c>
      <c r="D7" s="11" t="n">
        <v>0.3</v>
      </c>
      <c r="E7" s="10" t="n">
        <v>1</v>
      </c>
      <c r="F7" s="12" t="inlineStr">
        <is>
          <t>Delta - other, Nile Valley</t>
        </is>
      </c>
      <c r="G7" s="13" t="inlineStr">
        <is>
          <t>Suppresses bare-soil evaporation between rows. Caveat: some of the conserved soil water is taken up and transpired instead, converting E to T and yield rather than to saved water - good agronomy, zero water volume. Treat as an upper bound.</t>
        </is>
      </c>
    </row>
    <row r="8" ht="52" customHeight="1">
      <c r="A8" s="8" t="inlineStr">
        <is>
          <t>Drip retrofit</t>
        </is>
      </c>
      <c r="B8" s="9" t="n">
        <v>1800</v>
      </c>
      <c r="C8" s="10" t="n">
        <v>10</v>
      </c>
      <c r="D8" s="11" t="n">
        <v>0.45</v>
      </c>
      <c r="E8" s="10" t="n">
        <v>2</v>
      </c>
      <c r="F8" s="12" t="inlineStr">
        <is>
          <t>Delta - other, Nile Valley</t>
        </is>
      </c>
      <c r="G8" s="13" t="inlineStr">
        <is>
          <t>Largest saving, largest capital cost, and the same E-to-T compensation caveat as mulching. Not viable for paddy rice.</t>
        </is>
      </c>
    </row>
    <row r="10">
      <c r="A10" s="14" t="inlineStr">
        <is>
          <t>Budget, USD</t>
        </is>
      </c>
      <c r="B10" s="15" t="n">
        <v>12000000</v>
      </c>
    </row>
    <row r="11">
      <c r="A11" s="14" t="inlineStr">
        <is>
          <t>Season</t>
        </is>
      </c>
      <c r="B11" s="16" t="inlineStr">
        <is>
          <t>Summer (Nili/Sefi) 2024</t>
        </is>
      </c>
    </row>
    <row r="13">
      <c r="A13" s="6" t="inlineStr">
        <is>
          <t>Source: literature-order estimates compiled by Team 39, corrected after adversarial review. See docs/ASSUMPTIONS.md.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
  <sheetViews>
    <sheetView showGridLines="0" workbookViewId="0">
      <selection activeCell="A1" sqref="A1"/>
    </sheetView>
  </sheetViews>
  <sheetFormatPr baseColWidth="8" defaultRowHeight="15"/>
  <cols>
    <col width="20" customWidth="1" min="1" max="1"/>
    <col width="18" customWidth="1" min="2" max="2"/>
    <col width="13" customWidth="1" min="3" max="3"/>
    <col width="10" customWidth="1" min="4" max="4"/>
    <col width="9" customWidth="1" min="5" max="5"/>
    <col width="9" customWidth="1" min="6" max="6"/>
    <col width="8" customWidth="1" min="7" max="7"/>
    <col width="17" customWidth="1" min="8" max="8"/>
    <col width="18" customWidth="1" min="9" max="9"/>
    <col width="12" customWidth="1" min="10" max="10"/>
  </cols>
  <sheetData>
    <row r="1">
      <c r="A1" s="7" t="inlineStr">
        <is>
          <t>Governorate</t>
        </is>
      </c>
      <c r="B1" s="7" t="inlineStr">
        <is>
          <t>System</t>
        </is>
      </c>
      <c r="C1" s="7" t="inlineStr">
        <is>
          <t>Irrigated ha</t>
        </is>
      </c>
      <c r="D1" s="7" t="inlineStr">
        <is>
          <t>AETI mm</t>
        </is>
      </c>
      <c r="E1" s="7" t="inlineStr">
        <is>
          <t>E mm</t>
        </is>
      </c>
      <c r="F1" s="7" t="inlineStr">
        <is>
          <t>T mm</t>
        </is>
      </c>
      <c r="G1" s="7" t="inlineStr">
        <is>
          <t>I mm</t>
        </is>
      </c>
      <c r="H1" s="7" t="inlineStr">
        <is>
          <t>Beneficial fraction</t>
        </is>
      </c>
      <c r="I1" s="7" t="inlineStr">
        <is>
          <t>Non-beneficial Mm3</t>
        </is>
      </c>
      <c r="J1" s="7" t="inlineStr">
        <is>
          <t>Confidence</t>
        </is>
      </c>
    </row>
    <row r="2">
      <c r="A2" s="8" t="inlineStr">
        <is>
          <t>Aswan</t>
        </is>
      </c>
      <c r="B2" s="12" t="inlineStr">
        <is>
          <t>Nile Valley</t>
        </is>
      </c>
      <c r="C2" s="17" t="n">
        <v>79350</v>
      </c>
      <c r="D2" s="17" t="n">
        <v>737.6</v>
      </c>
      <c r="E2" s="17" t="n">
        <v>186</v>
      </c>
      <c r="F2" s="17" t="n">
        <v>551.6</v>
      </c>
      <c r="G2" s="17" t="n">
        <v>0</v>
      </c>
      <c r="H2" s="18">
        <f>IF(D2=0,0,F2/D2)</f>
        <v/>
      </c>
      <c r="I2" s="19">
        <f>E2*C2*10/1000000</f>
        <v/>
      </c>
      <c r="J2" s="12" t="inlineStr">
        <is>
          <t>medium</t>
        </is>
      </c>
    </row>
    <row r="3">
      <c r="A3" s="8" t="inlineStr">
        <is>
          <t>Qena</t>
        </is>
      </c>
      <c r="B3" s="12" t="inlineStr">
        <is>
          <t>Nile Valley</t>
        </is>
      </c>
      <c r="C3" s="17" t="n">
        <v>182502</v>
      </c>
      <c r="D3" s="17" t="n">
        <v>774.4</v>
      </c>
      <c r="E3" s="17" t="n">
        <v>185.8</v>
      </c>
      <c r="F3" s="17" t="n">
        <v>588.6</v>
      </c>
      <c r="G3" s="17" t="n">
        <v>0</v>
      </c>
      <c r="H3" s="18">
        <f>IF(D3=0,0,F3/D3)</f>
        <v/>
      </c>
      <c r="I3" s="19">
        <f>E3*C3*10/1000000</f>
        <v/>
      </c>
      <c r="J3" s="12" t="inlineStr">
        <is>
          <t>medium</t>
        </is>
      </c>
    </row>
    <row r="4">
      <c r="A4" s="8" t="inlineStr">
        <is>
          <t>Sohag</t>
        </is>
      </c>
      <c r="B4" s="12" t="inlineStr">
        <is>
          <t>Nile Valley</t>
        </is>
      </c>
      <c r="C4" s="17" t="n">
        <v>144522</v>
      </c>
      <c r="D4" s="17" t="n">
        <v>703.9</v>
      </c>
      <c r="E4" s="17" t="n">
        <v>175.9</v>
      </c>
      <c r="F4" s="17" t="n">
        <v>527.7</v>
      </c>
      <c r="G4" s="17" t="n">
        <v>0.2</v>
      </c>
      <c r="H4" s="18">
        <f>IF(D4=0,0,F4/D4)</f>
        <v/>
      </c>
      <c r="I4" s="19">
        <f>E4*C4*10/1000000</f>
        <v/>
      </c>
      <c r="J4" s="12" t="inlineStr">
        <is>
          <t>high</t>
        </is>
      </c>
    </row>
    <row r="5">
      <c r="A5" s="8" t="inlineStr">
        <is>
          <t>Assiut</t>
        </is>
      </c>
      <c r="B5" s="12" t="inlineStr">
        <is>
          <t>Nile Valley</t>
        </is>
      </c>
      <c r="C5" s="17" t="n">
        <v>148668</v>
      </c>
      <c r="D5" s="17" t="n">
        <v>688</v>
      </c>
      <c r="E5" s="17" t="n">
        <v>162.6</v>
      </c>
      <c r="F5" s="17" t="n">
        <v>525.3</v>
      </c>
      <c r="G5" s="17" t="n">
        <v>0.2</v>
      </c>
      <c r="H5" s="18">
        <f>IF(D5=0,0,F5/D5)</f>
        <v/>
      </c>
      <c r="I5" s="19">
        <f>E5*C5*10/1000000</f>
        <v/>
      </c>
      <c r="J5" s="12" t="inlineStr">
        <is>
          <t>high</t>
        </is>
      </c>
    </row>
    <row r="6">
      <c r="A6" s="8" t="inlineStr">
        <is>
          <t>Beni Suef</t>
        </is>
      </c>
      <c r="B6" s="12" t="inlineStr">
        <is>
          <t>Nile Valley</t>
        </is>
      </c>
      <c r="C6" s="17" t="n">
        <v>131054</v>
      </c>
      <c r="D6" s="17" t="n">
        <v>680.4</v>
      </c>
      <c r="E6" s="17" t="n">
        <v>159.2</v>
      </c>
      <c r="F6" s="17" t="n">
        <v>521.1</v>
      </c>
      <c r="G6" s="17" t="n">
        <v>0</v>
      </c>
      <c r="H6" s="18">
        <f>IF(D6=0,0,F6/D6)</f>
        <v/>
      </c>
      <c r="I6" s="19">
        <f>E6*C6*10/1000000</f>
        <v/>
      </c>
      <c r="J6" s="12" t="inlineStr">
        <is>
          <t>high</t>
        </is>
      </c>
    </row>
    <row r="7">
      <c r="A7" s="8" t="inlineStr">
        <is>
          <t>Qalyubia</t>
        </is>
      </c>
      <c r="B7" s="12" t="inlineStr">
        <is>
          <t>Delta - other</t>
        </is>
      </c>
      <c r="C7" s="17" t="n">
        <v>74955</v>
      </c>
      <c r="D7" s="17" t="n">
        <v>589.9</v>
      </c>
      <c r="E7" s="17" t="n">
        <v>152.9</v>
      </c>
      <c r="F7" s="17" t="n">
        <v>436.9</v>
      </c>
      <c r="G7" s="17" t="n">
        <v>0</v>
      </c>
      <c r="H7" s="18">
        <f>IF(D7=0,0,F7/D7)</f>
        <v/>
      </c>
      <c r="I7" s="19">
        <f>E7*C7*10/1000000</f>
        <v/>
      </c>
      <c r="J7" s="12" t="inlineStr">
        <is>
          <t>high</t>
        </is>
      </c>
    </row>
    <row r="8">
      <c r="A8" s="8" t="inlineStr">
        <is>
          <t>Minya</t>
        </is>
      </c>
      <c r="B8" s="12" t="inlineStr">
        <is>
          <t>Nile Valley</t>
        </is>
      </c>
      <c r="C8" s="17" t="n">
        <v>240743</v>
      </c>
      <c r="D8" s="17" t="n">
        <v>660.4</v>
      </c>
      <c r="E8" s="17" t="n">
        <v>151.9</v>
      </c>
      <c r="F8" s="17" t="n">
        <v>508.5</v>
      </c>
      <c r="G8" s="17" t="n">
        <v>0</v>
      </c>
      <c r="H8" s="18">
        <f>IF(D8=0,0,F8/D8)</f>
        <v/>
      </c>
      <c r="I8" s="19">
        <f>E8*C8*10/1000000</f>
        <v/>
      </c>
      <c r="J8" s="12" t="inlineStr">
        <is>
          <t>high</t>
        </is>
      </c>
    </row>
    <row r="9">
      <c r="A9" s="8" t="inlineStr">
        <is>
          <t>Fayoum</t>
        </is>
      </c>
      <c r="B9" s="12" t="inlineStr">
        <is>
          <t>Nile Valley</t>
        </is>
      </c>
      <c r="C9" s="17" t="n">
        <v>154609</v>
      </c>
      <c r="D9" s="17" t="n">
        <v>608.1</v>
      </c>
      <c r="E9" s="17" t="n">
        <v>148.7</v>
      </c>
      <c r="F9" s="17" t="n">
        <v>459.4</v>
      </c>
      <c r="G9" s="17" t="n">
        <v>0</v>
      </c>
      <c r="H9" s="18">
        <f>IF(D9=0,0,F9/D9)</f>
        <v/>
      </c>
      <c r="I9" s="19">
        <f>E9*C9*10/1000000</f>
        <v/>
      </c>
      <c r="J9" s="12" t="inlineStr">
        <is>
          <t>high</t>
        </is>
      </c>
    </row>
    <row r="10">
      <c r="A10" s="8" t="inlineStr">
        <is>
          <t>Menoufia</t>
        </is>
      </c>
      <c r="B10" s="12" t="inlineStr">
        <is>
          <t>Delta - other</t>
        </is>
      </c>
      <c r="C10" s="17" t="n">
        <v>135139</v>
      </c>
      <c r="D10" s="17" t="n">
        <v>610.6</v>
      </c>
      <c r="E10" s="17" t="n">
        <v>148.4</v>
      </c>
      <c r="F10" s="17" t="n">
        <v>462.2</v>
      </c>
      <c r="G10" s="17" t="n">
        <v>0</v>
      </c>
      <c r="H10" s="18">
        <f>IF(D10=0,0,F10/D10)</f>
        <v/>
      </c>
      <c r="I10" s="19">
        <f>E10*C10*10/1000000</f>
        <v/>
      </c>
      <c r="J10" s="12" t="inlineStr">
        <is>
          <t>high</t>
        </is>
      </c>
    </row>
    <row r="11">
      <c r="A11" s="8" t="inlineStr">
        <is>
          <t>Sharqia</t>
        </is>
      </c>
      <c r="B11" s="12" t="inlineStr">
        <is>
          <t>Delta - rice belt</t>
        </is>
      </c>
      <c r="C11" s="17" t="n">
        <v>393385</v>
      </c>
      <c r="D11" s="17" t="n">
        <v>594.9</v>
      </c>
      <c r="E11" s="17" t="n">
        <v>143.8</v>
      </c>
      <c r="F11" s="17" t="n">
        <v>451.1</v>
      </c>
      <c r="G11" s="17" t="n">
        <v>0</v>
      </c>
      <c r="H11" s="18">
        <f>IF(D11=0,0,F11/D11)</f>
        <v/>
      </c>
      <c r="I11" s="19">
        <f>E11*C11*10/1000000</f>
        <v/>
      </c>
      <c r="J11" s="12" t="inlineStr">
        <is>
          <t>high</t>
        </is>
      </c>
    </row>
    <row r="12">
      <c r="A12" s="8" t="inlineStr">
        <is>
          <t>Gharbia</t>
        </is>
      </c>
      <c r="B12" s="12" t="inlineStr">
        <is>
          <t>Delta - other</t>
        </is>
      </c>
      <c r="C12" s="17" t="n">
        <v>177584</v>
      </c>
      <c r="D12" s="17" t="n">
        <v>629.8</v>
      </c>
      <c r="E12" s="17" t="n">
        <v>143.6</v>
      </c>
      <c r="F12" s="17" t="n">
        <v>486.2</v>
      </c>
      <c r="G12" s="17" t="n">
        <v>0</v>
      </c>
      <c r="H12" s="18">
        <f>IF(D12=0,0,F12/D12)</f>
        <v/>
      </c>
      <c r="I12" s="19">
        <f>E12*C12*10/1000000</f>
        <v/>
      </c>
      <c r="J12" s="12" t="inlineStr">
        <is>
          <t>high</t>
        </is>
      </c>
    </row>
    <row r="13">
      <c r="A13" s="8" t="inlineStr">
        <is>
          <t>Giza</t>
        </is>
      </c>
      <c r="B13" s="12" t="inlineStr">
        <is>
          <t>Nile Valley</t>
        </is>
      </c>
      <c r="C13" s="17" t="n">
        <v>107064</v>
      </c>
      <c r="D13" s="17" t="n">
        <v>524.3</v>
      </c>
      <c r="E13" s="17" t="n">
        <v>138.3</v>
      </c>
      <c r="F13" s="17" t="n">
        <v>386</v>
      </c>
      <c r="G13" s="17" t="n">
        <v>0</v>
      </c>
      <c r="H13" s="18">
        <f>IF(D13=0,0,F13/D13)</f>
        <v/>
      </c>
      <c r="I13" s="19">
        <f>E13*C13*10/1000000</f>
        <v/>
      </c>
      <c r="J13" s="12" t="inlineStr">
        <is>
          <t>medium</t>
        </is>
      </c>
    </row>
    <row r="14">
      <c r="A14" s="8" t="inlineStr">
        <is>
          <t>Dakahlia</t>
        </is>
      </c>
      <c r="B14" s="12" t="inlineStr">
        <is>
          <t>Delta - rice belt</t>
        </is>
      </c>
      <c r="C14" s="17" t="n">
        <v>329180</v>
      </c>
      <c r="D14" s="17" t="n">
        <v>641.6</v>
      </c>
      <c r="E14" s="17" t="n">
        <v>127.9</v>
      </c>
      <c r="F14" s="17" t="n">
        <v>513.7</v>
      </c>
      <c r="G14" s="17" t="n">
        <v>0</v>
      </c>
      <c r="H14" s="18">
        <f>IF(D14=0,0,F14/D14)</f>
        <v/>
      </c>
      <c r="I14" s="19">
        <f>E14*C14*10/1000000</f>
        <v/>
      </c>
      <c r="J14" s="12" t="inlineStr">
        <is>
          <t>high</t>
        </is>
      </c>
    </row>
    <row r="15">
      <c r="A15" s="8" t="inlineStr">
        <is>
          <t>Ismailia</t>
        </is>
      </c>
      <c r="B15" s="12" t="inlineStr">
        <is>
          <t>Delta - other</t>
        </is>
      </c>
      <c r="C15" s="17" t="n">
        <v>149800</v>
      </c>
      <c r="D15" s="17" t="n">
        <v>431.8</v>
      </c>
      <c r="E15" s="17" t="n">
        <v>116.3</v>
      </c>
      <c r="F15" s="17" t="n">
        <v>315.5</v>
      </c>
      <c r="G15" s="17" t="n">
        <v>0</v>
      </c>
      <c r="H15" s="18">
        <f>IF(D15=0,0,F15/D15)</f>
        <v/>
      </c>
      <c r="I15" s="19">
        <f>E15*C15*10/1000000</f>
        <v/>
      </c>
      <c r="J15" s="12" t="inlineStr">
        <is>
          <t>medium</t>
        </is>
      </c>
    </row>
    <row r="16">
      <c r="A16" s="8" t="inlineStr">
        <is>
          <t>Kafr El Sheikh</t>
        </is>
      </c>
      <c r="B16" s="12" t="inlineStr">
        <is>
          <t>Delta - rice belt</t>
        </is>
      </c>
      <c r="C16" s="17" t="n">
        <v>292144</v>
      </c>
      <c r="D16" s="17" t="n">
        <v>607.9</v>
      </c>
      <c r="E16" s="17" t="n">
        <v>116</v>
      </c>
      <c r="F16" s="17" t="n">
        <v>491.9</v>
      </c>
      <c r="G16" s="17" t="n">
        <v>0</v>
      </c>
      <c r="H16" s="18">
        <f>IF(D16=0,0,F16/D16)</f>
        <v/>
      </c>
      <c r="I16" s="19">
        <f>E16*C16*10/1000000</f>
        <v/>
      </c>
      <c r="J16" s="12" t="inlineStr">
        <is>
          <t>high</t>
        </is>
      </c>
    </row>
    <row r="17">
      <c r="A17" s="8" t="inlineStr">
        <is>
          <t>Beheira</t>
        </is>
      </c>
      <c r="B17" s="12" t="inlineStr">
        <is>
          <t>Delta - rice belt</t>
        </is>
      </c>
      <c r="C17" s="17" t="n">
        <v>695522</v>
      </c>
      <c r="D17" s="17" t="n">
        <v>511.3</v>
      </c>
      <c r="E17" s="17" t="n">
        <v>106.3</v>
      </c>
      <c r="F17" s="17" t="n">
        <v>405</v>
      </c>
      <c r="G17" s="17" t="n">
        <v>0</v>
      </c>
      <c r="H17" s="18">
        <f>IF(D17=0,0,F17/D17)</f>
        <v/>
      </c>
      <c r="I17" s="19">
        <f>E17*C17*10/1000000</f>
        <v/>
      </c>
      <c r="J17" s="12" t="inlineStr">
        <is>
          <t>high</t>
        </is>
      </c>
    </row>
    <row r="18">
      <c r="A18" s="8" t="inlineStr">
        <is>
          <t>Damietta</t>
        </is>
      </c>
      <c r="B18" s="12" t="inlineStr">
        <is>
          <t>Delta - rice belt</t>
        </is>
      </c>
      <c r="C18" s="17" t="n">
        <v>47357</v>
      </c>
      <c r="D18" s="17" t="n">
        <v>590.4</v>
      </c>
      <c r="E18" s="17" t="n">
        <v>92.5</v>
      </c>
      <c r="F18" s="17" t="n">
        <v>498</v>
      </c>
      <c r="G18" s="17" t="n">
        <v>0</v>
      </c>
      <c r="H18" s="18">
        <f>IF(D18=0,0,F18/D18)</f>
        <v/>
      </c>
      <c r="I18" s="19">
        <f>E18*C18*10/1000000</f>
        <v/>
      </c>
      <c r="J18" s="12" t="inlineStr">
        <is>
          <t>high</t>
        </is>
      </c>
    </row>
    <row r="19">
      <c r="A19" s="8" t="inlineStr">
        <is>
          <t>Alexandria</t>
        </is>
      </c>
      <c r="B19" s="12" t="inlineStr">
        <is>
          <t>Delta - other</t>
        </is>
      </c>
      <c r="C19" s="17" t="n">
        <v>70687</v>
      </c>
      <c r="D19" s="17" t="n">
        <v>364.4</v>
      </c>
      <c r="E19" s="17" t="n">
        <v>79.40000000000001</v>
      </c>
      <c r="F19" s="17" t="n">
        <v>284.9</v>
      </c>
      <c r="G19" s="17" t="n">
        <v>0.1</v>
      </c>
      <c r="H19" s="18">
        <f>IF(D19=0,0,F19/D19)</f>
        <v/>
      </c>
      <c r="I19" s="19">
        <f>E19*C19*10/1000000</f>
        <v/>
      </c>
      <c r="J19" s="12" t="inlineStr">
        <is>
          <t>high</t>
        </is>
      </c>
    </row>
    <row r="20">
      <c r="A20" s="14" t="inlineStr">
        <is>
          <t>TOTAL</t>
        </is>
      </c>
      <c r="C20" s="20">
        <f>SUM(C2:C19)</f>
        <v/>
      </c>
      <c r="I20" s="20">
        <f>SUM(I2:I19)</f>
        <v/>
      </c>
    </row>
    <row r="22">
      <c r="A22" s="6" t="inlineStr">
        <is>
          <t>Blue = WaPOR v3 L2 (100 m) seasonal values.</t>
        </is>
      </c>
    </row>
    <row r="23">
      <c r="A23" s="6" t="inlineStr">
        <is>
          <t>Non-beneficial Mm3 = E_mm x irrigated_ha x 10 / 1e6.  Beneficial fraction = T / AETI.</t>
        </is>
      </c>
    </row>
    <row r="24">
      <c r="A24" s="6" t="inlineStr">
        <is>
          <t>Confidence caveat: the CV is computed over the already-masked subset, so a mostly-desert governorate can score high. Fix before Phase 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3"/>
  <sheetViews>
    <sheetView showGridLines="0" workbookViewId="0">
      <selection activeCell="A1" sqref="A1"/>
    </sheetView>
  </sheetViews>
  <sheetFormatPr baseColWidth="8" defaultRowHeight="15"/>
  <cols>
    <col width="6" customWidth="1" min="1" max="1"/>
    <col width="20" customWidth="1" min="2" max="2"/>
    <col width="18" customWidth="1" min="3" max="3"/>
    <col width="30" customWidth="1" min="4" max="4"/>
    <col width="13" customWidth="1" min="5" max="5"/>
    <col width="9" customWidth="1" min="6" max="6"/>
    <col width="16" customWidth="1" min="7" max="7"/>
    <col width="16" customWidth="1" min="8" max="8"/>
    <col width="12" customWidth="1" min="9" max="9"/>
    <col width="12" customWidth="1" min="10" max="10"/>
  </cols>
  <sheetData>
    <row r="1">
      <c r="A1" s="7" t="inlineStr">
        <is>
          <t>Rank</t>
        </is>
      </c>
      <c r="B1" s="7" t="inlineStr">
        <is>
          <t>Governorate</t>
        </is>
      </c>
      <c r="C1" s="7" t="inlineStr">
        <is>
          <t>System</t>
        </is>
      </c>
      <c r="D1" s="7" t="inlineStr">
        <is>
          <t>Intervention</t>
        </is>
      </c>
      <c r="E1" s="7" t="inlineStr">
        <is>
          <t>Irrigated ha</t>
        </is>
      </c>
      <c r="F1" s="7" t="inlineStr">
        <is>
          <t>E mm</t>
        </is>
      </c>
      <c r="G1" s="7" t="inlineStr">
        <is>
          <t>Recoverable Mm3</t>
        </is>
      </c>
      <c r="H1" s="7" t="inlineStr">
        <is>
          <t>Annual cost USD</t>
        </is>
      </c>
      <c r="I1" s="7" t="inlineStr">
        <is>
          <t>USD per m3</t>
        </is>
      </c>
      <c r="J1" s="7" t="inlineStr">
        <is>
          <t>Confidence</t>
        </is>
      </c>
    </row>
    <row r="2">
      <c r="A2" s="12" t="n">
        <v>1</v>
      </c>
      <c r="B2" s="8" t="inlineStr">
        <is>
          <t>Aswan</t>
        </is>
      </c>
      <c r="C2" s="12" t="inlineStr">
        <is>
          <t>Nile Valley</t>
        </is>
      </c>
      <c r="D2" s="12" t="inlineStr">
        <is>
          <t>Laser land levelling</t>
        </is>
      </c>
      <c r="E2" s="19">
        <f>Districts!C2</f>
        <v/>
      </c>
      <c r="F2" s="19">
        <f>Districts!E2</f>
        <v/>
      </c>
      <c r="G2" s="21">
        <f>F2*E2*10*Assumptions!$D$5*Assumptions!$E$5/1000000</f>
        <v/>
      </c>
      <c r="H2" s="22">
        <f>Assumptions!$B$5/Assumptions!$C$5*E2</f>
        <v/>
      </c>
      <c r="I2" s="23">
        <f>IF(G2=0,0,H2/(G2*1000000))</f>
        <v/>
      </c>
      <c r="J2" s="12" t="inlineStr">
        <is>
          <t>medium</t>
        </is>
      </c>
    </row>
    <row r="3">
      <c r="A3" s="12" t="n">
        <v>2</v>
      </c>
      <c r="B3" s="8" t="inlineStr">
        <is>
          <t>Qena</t>
        </is>
      </c>
      <c r="C3" s="12" t="inlineStr">
        <is>
          <t>Nile Valley</t>
        </is>
      </c>
      <c r="D3" s="12" t="inlineStr">
        <is>
          <t>Laser land levelling</t>
        </is>
      </c>
      <c r="E3" s="19">
        <f>Districts!C3</f>
        <v/>
      </c>
      <c r="F3" s="19">
        <f>Districts!E3</f>
        <v/>
      </c>
      <c r="G3" s="21">
        <f>F3*E3*10*Assumptions!$D$5*Assumptions!$E$5/1000000</f>
        <v/>
      </c>
      <c r="H3" s="22">
        <f>Assumptions!$B$5/Assumptions!$C$5*E3</f>
        <v/>
      </c>
      <c r="I3" s="23">
        <f>IF(G3=0,0,H3/(G3*1000000))</f>
        <v/>
      </c>
      <c r="J3" s="12" t="inlineStr">
        <is>
          <t>medium</t>
        </is>
      </c>
    </row>
    <row r="4">
      <c r="A4" s="12" t="n">
        <v>3</v>
      </c>
      <c r="B4" s="8" t="inlineStr">
        <is>
          <t>Sohag</t>
        </is>
      </c>
      <c r="C4" s="12" t="inlineStr">
        <is>
          <t>Nile Valley</t>
        </is>
      </c>
      <c r="D4" s="12" t="inlineStr">
        <is>
          <t>Laser land levelling</t>
        </is>
      </c>
      <c r="E4" s="19">
        <f>Districts!C4</f>
        <v/>
      </c>
      <c r="F4" s="19">
        <f>Districts!E4</f>
        <v/>
      </c>
      <c r="G4" s="21">
        <f>F4*E4*10*Assumptions!$D$5*Assumptions!$E$5/1000000</f>
        <v/>
      </c>
      <c r="H4" s="22">
        <f>Assumptions!$B$5/Assumptions!$C$5*E4</f>
        <v/>
      </c>
      <c r="I4" s="23">
        <f>IF(G4=0,0,H4/(G4*1000000))</f>
        <v/>
      </c>
      <c r="J4" s="12" t="inlineStr">
        <is>
          <t>high</t>
        </is>
      </c>
    </row>
    <row r="5">
      <c r="A5" s="12" t="n">
        <v>4</v>
      </c>
      <c r="B5" s="8" t="inlineStr">
        <is>
          <t>Assiut</t>
        </is>
      </c>
      <c r="C5" s="12" t="inlineStr">
        <is>
          <t>Nile Valley</t>
        </is>
      </c>
      <c r="D5" s="12" t="inlineStr">
        <is>
          <t>Laser land levelling</t>
        </is>
      </c>
      <c r="E5" s="19">
        <f>Districts!C5</f>
        <v/>
      </c>
      <c r="F5" s="19">
        <f>Districts!E5</f>
        <v/>
      </c>
      <c r="G5" s="21">
        <f>F5*E5*10*Assumptions!$D$5*Assumptions!$E$5/1000000</f>
        <v/>
      </c>
      <c r="H5" s="22">
        <f>Assumptions!$B$5/Assumptions!$C$5*E5</f>
        <v/>
      </c>
      <c r="I5" s="23">
        <f>IF(G5=0,0,H5/(G5*1000000))</f>
        <v/>
      </c>
      <c r="J5" s="12" t="inlineStr">
        <is>
          <t>high</t>
        </is>
      </c>
    </row>
    <row r="6">
      <c r="A6" s="12" t="n">
        <v>5</v>
      </c>
      <c r="B6" s="8" t="inlineStr">
        <is>
          <t>Beni Suef</t>
        </is>
      </c>
      <c r="C6" s="12" t="inlineStr">
        <is>
          <t>Nile Valley</t>
        </is>
      </c>
      <c r="D6" s="12" t="inlineStr">
        <is>
          <t>Laser land levelling</t>
        </is>
      </c>
      <c r="E6" s="19">
        <f>Districts!C6</f>
        <v/>
      </c>
      <c r="F6" s="19">
        <f>Districts!E6</f>
        <v/>
      </c>
      <c r="G6" s="21">
        <f>F6*E6*10*Assumptions!$D$5*Assumptions!$E$5/1000000</f>
        <v/>
      </c>
      <c r="H6" s="22">
        <f>Assumptions!$B$5/Assumptions!$C$5*E6</f>
        <v/>
      </c>
      <c r="I6" s="23">
        <f>IF(G6=0,0,H6/(G6*1000000))</f>
        <v/>
      </c>
      <c r="J6" s="12" t="inlineStr">
        <is>
          <t>high</t>
        </is>
      </c>
    </row>
    <row r="7">
      <c r="A7" s="12" t="n">
        <v>6</v>
      </c>
      <c r="B7" s="8" t="inlineStr">
        <is>
          <t>Qalyubia</t>
        </is>
      </c>
      <c r="C7" s="12" t="inlineStr">
        <is>
          <t>Delta - other</t>
        </is>
      </c>
      <c r="D7" s="12" t="inlineStr">
        <is>
          <t>Laser land levelling</t>
        </is>
      </c>
      <c r="E7" s="19">
        <f>Districts!C7</f>
        <v/>
      </c>
      <c r="F7" s="19">
        <f>Districts!E7</f>
        <v/>
      </c>
      <c r="G7" s="21">
        <f>F7*E7*10*Assumptions!$D$5*Assumptions!$E$5/1000000</f>
        <v/>
      </c>
      <c r="H7" s="22">
        <f>Assumptions!$B$5/Assumptions!$C$5*E7</f>
        <v/>
      </c>
      <c r="I7" s="23">
        <f>IF(G7=0,0,H7/(G7*1000000))</f>
        <v/>
      </c>
      <c r="J7" s="12" t="inlineStr">
        <is>
          <t>high</t>
        </is>
      </c>
    </row>
    <row r="8">
      <c r="A8" s="12" t="n">
        <v>7</v>
      </c>
      <c r="B8" s="8" t="inlineStr">
        <is>
          <t>Minya</t>
        </is>
      </c>
      <c r="C8" s="12" t="inlineStr">
        <is>
          <t>Nile Valley</t>
        </is>
      </c>
      <c r="D8" s="12" t="inlineStr">
        <is>
          <t>Laser land levelling</t>
        </is>
      </c>
      <c r="E8" s="19">
        <f>Districts!C8</f>
        <v/>
      </c>
      <c r="F8" s="19">
        <f>Districts!E8</f>
        <v/>
      </c>
      <c r="G8" s="21">
        <f>F8*E8*10*Assumptions!$D$5*Assumptions!$E$5/1000000</f>
        <v/>
      </c>
      <c r="H8" s="22">
        <f>Assumptions!$B$5/Assumptions!$C$5*E8</f>
        <v/>
      </c>
      <c r="I8" s="23">
        <f>IF(G8=0,0,H8/(G8*1000000))</f>
        <v/>
      </c>
      <c r="J8" s="12" t="inlineStr">
        <is>
          <t>high</t>
        </is>
      </c>
    </row>
    <row r="9">
      <c r="A9" s="12" t="n">
        <v>8</v>
      </c>
      <c r="B9" s="8" t="inlineStr">
        <is>
          <t>Fayoum</t>
        </is>
      </c>
      <c r="C9" s="12" t="inlineStr">
        <is>
          <t>Nile Valley</t>
        </is>
      </c>
      <c r="D9" s="12" t="inlineStr">
        <is>
          <t>Laser land levelling</t>
        </is>
      </c>
      <c r="E9" s="19">
        <f>Districts!C9</f>
        <v/>
      </c>
      <c r="F9" s="19">
        <f>Districts!E9</f>
        <v/>
      </c>
      <c r="G9" s="21">
        <f>F9*E9*10*Assumptions!$D$5*Assumptions!$E$5/1000000</f>
        <v/>
      </c>
      <c r="H9" s="22">
        <f>Assumptions!$B$5/Assumptions!$C$5*E9</f>
        <v/>
      </c>
      <c r="I9" s="23">
        <f>IF(G9=0,0,H9/(G9*1000000))</f>
        <v/>
      </c>
      <c r="J9" s="12" t="inlineStr">
        <is>
          <t>high</t>
        </is>
      </c>
    </row>
    <row r="10">
      <c r="A10" s="12" t="n">
        <v>9</v>
      </c>
      <c r="B10" s="8" t="inlineStr">
        <is>
          <t>Menoufia</t>
        </is>
      </c>
      <c r="C10" s="12" t="inlineStr">
        <is>
          <t>Delta - other</t>
        </is>
      </c>
      <c r="D10" s="12" t="inlineStr">
        <is>
          <t>Laser land levelling</t>
        </is>
      </c>
      <c r="E10" s="19">
        <f>Districts!C10</f>
        <v/>
      </c>
      <c r="F10" s="19">
        <f>Districts!E10</f>
        <v/>
      </c>
      <c r="G10" s="21">
        <f>F10*E10*10*Assumptions!$D$5*Assumptions!$E$5/1000000</f>
        <v/>
      </c>
      <c r="H10" s="22">
        <f>Assumptions!$B$5/Assumptions!$C$5*E10</f>
        <v/>
      </c>
      <c r="I10" s="23">
        <f>IF(G10=0,0,H10/(G10*1000000))</f>
        <v/>
      </c>
      <c r="J10" s="12" t="inlineStr">
        <is>
          <t>high</t>
        </is>
      </c>
    </row>
    <row r="11">
      <c r="A11" s="12" t="n">
        <v>10</v>
      </c>
      <c r="B11" s="8" t="inlineStr">
        <is>
          <t>Sharqia</t>
        </is>
      </c>
      <c r="C11" s="12" t="inlineStr">
        <is>
          <t>Delta - rice belt</t>
        </is>
      </c>
      <c r="D11" s="12" t="inlineStr">
        <is>
          <t>Laser land levelling</t>
        </is>
      </c>
      <c r="E11" s="19">
        <f>Districts!C11</f>
        <v/>
      </c>
      <c r="F11" s="19">
        <f>Districts!E11</f>
        <v/>
      </c>
      <c r="G11" s="21">
        <f>F11*E11*10*Assumptions!$D$5*Assumptions!$E$5/1000000</f>
        <v/>
      </c>
      <c r="H11" s="22">
        <f>Assumptions!$B$5/Assumptions!$C$5*E11</f>
        <v/>
      </c>
      <c r="I11" s="23">
        <f>IF(G11=0,0,H11/(G11*1000000))</f>
        <v/>
      </c>
      <c r="J11" s="12" t="inlineStr">
        <is>
          <t>high</t>
        </is>
      </c>
    </row>
    <row r="12">
      <c r="A12" s="12" t="n">
        <v>11</v>
      </c>
      <c r="B12" s="8" t="inlineStr">
        <is>
          <t>Gharbia</t>
        </is>
      </c>
      <c r="C12" s="12" t="inlineStr">
        <is>
          <t>Delta - other</t>
        </is>
      </c>
      <c r="D12" s="12" t="inlineStr">
        <is>
          <t>Laser land levelling</t>
        </is>
      </c>
      <c r="E12" s="19">
        <f>Districts!C12</f>
        <v/>
      </c>
      <c r="F12" s="19">
        <f>Districts!E12</f>
        <v/>
      </c>
      <c r="G12" s="21">
        <f>F12*E12*10*Assumptions!$D$5*Assumptions!$E$5/1000000</f>
        <v/>
      </c>
      <c r="H12" s="22">
        <f>Assumptions!$B$5/Assumptions!$C$5*E12</f>
        <v/>
      </c>
      <c r="I12" s="23">
        <f>IF(G12=0,0,H12/(G12*1000000))</f>
        <v/>
      </c>
      <c r="J12" s="12" t="inlineStr">
        <is>
          <t>high</t>
        </is>
      </c>
    </row>
    <row r="13">
      <c r="A13" s="12" t="n">
        <v>12</v>
      </c>
      <c r="B13" s="8" t="inlineStr">
        <is>
          <t>Giza</t>
        </is>
      </c>
      <c r="C13" s="12" t="inlineStr">
        <is>
          <t>Nile Valley</t>
        </is>
      </c>
      <c r="D13" s="12" t="inlineStr">
        <is>
          <t>Laser land levelling</t>
        </is>
      </c>
      <c r="E13" s="19">
        <f>Districts!C13</f>
        <v/>
      </c>
      <c r="F13" s="19">
        <f>Districts!E13</f>
        <v/>
      </c>
      <c r="G13" s="21">
        <f>F13*E13*10*Assumptions!$D$5*Assumptions!$E$5/1000000</f>
        <v/>
      </c>
      <c r="H13" s="22">
        <f>Assumptions!$B$5/Assumptions!$C$5*E13</f>
        <v/>
      </c>
      <c r="I13" s="23">
        <f>IF(G13=0,0,H13/(G13*1000000))</f>
        <v/>
      </c>
      <c r="J13" s="12" t="inlineStr">
        <is>
          <t>medium</t>
        </is>
      </c>
    </row>
    <row r="14">
      <c r="A14" s="12" t="n">
        <v>13</v>
      </c>
      <c r="B14" s="8" t="inlineStr">
        <is>
          <t>Dakahlia</t>
        </is>
      </c>
      <c r="C14" s="12" t="inlineStr">
        <is>
          <t>Delta - rice belt</t>
        </is>
      </c>
      <c r="D14" s="12" t="inlineStr">
        <is>
          <t>Laser land levelling</t>
        </is>
      </c>
      <c r="E14" s="19">
        <f>Districts!C14</f>
        <v/>
      </c>
      <c r="F14" s="19">
        <f>Districts!E14</f>
        <v/>
      </c>
      <c r="G14" s="21">
        <f>F14*E14*10*Assumptions!$D$5*Assumptions!$E$5/1000000</f>
        <v/>
      </c>
      <c r="H14" s="22">
        <f>Assumptions!$B$5/Assumptions!$C$5*E14</f>
        <v/>
      </c>
      <c r="I14" s="23">
        <f>IF(G14=0,0,H14/(G14*1000000))</f>
        <v/>
      </c>
      <c r="J14" s="12" t="inlineStr">
        <is>
          <t>high</t>
        </is>
      </c>
    </row>
    <row r="15">
      <c r="A15" s="12" t="n">
        <v>14</v>
      </c>
      <c r="B15" s="8" t="inlineStr">
        <is>
          <t>Ismailia</t>
        </is>
      </c>
      <c r="C15" s="12" t="inlineStr">
        <is>
          <t>Delta - other</t>
        </is>
      </c>
      <c r="D15" s="12" t="inlineStr">
        <is>
          <t>Laser land levelling</t>
        </is>
      </c>
      <c r="E15" s="19">
        <f>Districts!C15</f>
        <v/>
      </c>
      <c r="F15" s="19">
        <f>Districts!E15</f>
        <v/>
      </c>
      <c r="G15" s="21">
        <f>F15*E15*10*Assumptions!$D$5*Assumptions!$E$5/1000000</f>
        <v/>
      </c>
      <c r="H15" s="22">
        <f>Assumptions!$B$5/Assumptions!$C$5*E15</f>
        <v/>
      </c>
      <c r="I15" s="23">
        <f>IF(G15=0,0,H15/(G15*1000000))</f>
        <v/>
      </c>
      <c r="J15" s="12" t="inlineStr">
        <is>
          <t>medium</t>
        </is>
      </c>
    </row>
    <row r="16">
      <c r="A16" s="12" t="n">
        <v>15</v>
      </c>
      <c r="B16" s="8" t="inlineStr">
        <is>
          <t>Kafr El Sheikh</t>
        </is>
      </c>
      <c r="C16" s="12" t="inlineStr">
        <is>
          <t>Delta - rice belt</t>
        </is>
      </c>
      <c r="D16" s="12" t="inlineStr">
        <is>
          <t>Laser land levelling</t>
        </is>
      </c>
      <c r="E16" s="19">
        <f>Districts!C16</f>
        <v/>
      </c>
      <c r="F16" s="19">
        <f>Districts!E16</f>
        <v/>
      </c>
      <c r="G16" s="21">
        <f>F16*E16*10*Assumptions!$D$5*Assumptions!$E$5/1000000</f>
        <v/>
      </c>
      <c r="H16" s="22">
        <f>Assumptions!$B$5/Assumptions!$C$5*E16</f>
        <v/>
      </c>
      <c r="I16" s="23">
        <f>IF(G16=0,0,H16/(G16*1000000))</f>
        <v/>
      </c>
      <c r="J16" s="12" t="inlineStr">
        <is>
          <t>high</t>
        </is>
      </c>
    </row>
    <row r="17">
      <c r="A17" s="12" t="n">
        <v>16</v>
      </c>
      <c r="B17" s="8" t="inlineStr">
        <is>
          <t>Beheira</t>
        </is>
      </c>
      <c r="C17" s="12" t="inlineStr">
        <is>
          <t>Delta - rice belt</t>
        </is>
      </c>
      <c r="D17" s="12" t="inlineStr">
        <is>
          <t>Laser land levelling</t>
        </is>
      </c>
      <c r="E17" s="19">
        <f>Districts!C17</f>
        <v/>
      </c>
      <c r="F17" s="19">
        <f>Districts!E17</f>
        <v/>
      </c>
      <c r="G17" s="21">
        <f>F17*E17*10*Assumptions!$D$5*Assumptions!$E$5/1000000</f>
        <v/>
      </c>
      <c r="H17" s="22">
        <f>Assumptions!$B$5/Assumptions!$C$5*E17</f>
        <v/>
      </c>
      <c r="I17" s="23">
        <f>IF(G17=0,0,H17/(G17*1000000))</f>
        <v/>
      </c>
      <c r="J17" s="12" t="inlineStr">
        <is>
          <t>high</t>
        </is>
      </c>
    </row>
    <row r="18">
      <c r="A18" s="12" t="n">
        <v>17</v>
      </c>
      <c r="B18" s="8" t="inlineStr">
        <is>
          <t>Damietta</t>
        </is>
      </c>
      <c r="C18" s="12" t="inlineStr">
        <is>
          <t>Delta - rice belt</t>
        </is>
      </c>
      <c r="D18" s="12" t="inlineStr">
        <is>
          <t>Laser land levelling</t>
        </is>
      </c>
      <c r="E18" s="19">
        <f>Districts!C18</f>
        <v/>
      </c>
      <c r="F18" s="19">
        <f>Districts!E18</f>
        <v/>
      </c>
      <c r="G18" s="21">
        <f>F18*E18*10*Assumptions!$D$5*Assumptions!$E$5/1000000</f>
        <v/>
      </c>
      <c r="H18" s="22">
        <f>Assumptions!$B$5/Assumptions!$C$5*E18</f>
        <v/>
      </c>
      <c r="I18" s="23">
        <f>IF(G18=0,0,H18/(G18*1000000))</f>
        <v/>
      </c>
      <c r="J18" s="12" t="inlineStr">
        <is>
          <t>high</t>
        </is>
      </c>
    </row>
    <row r="19">
      <c r="A19" s="12" t="n">
        <v>18</v>
      </c>
      <c r="B19" s="8" t="inlineStr">
        <is>
          <t>Alexandria</t>
        </is>
      </c>
      <c r="C19" s="12" t="inlineStr">
        <is>
          <t>Delta - other</t>
        </is>
      </c>
      <c r="D19" s="12" t="inlineStr">
        <is>
          <t>Laser land levelling</t>
        </is>
      </c>
      <c r="E19" s="19">
        <f>Districts!C19</f>
        <v/>
      </c>
      <c r="F19" s="19">
        <f>Districts!E19</f>
        <v/>
      </c>
      <c r="G19" s="21">
        <f>F19*E19*10*Assumptions!$D$5*Assumptions!$E$5/1000000</f>
        <v/>
      </c>
      <c r="H19" s="22">
        <f>Assumptions!$B$5/Assumptions!$C$5*E19</f>
        <v/>
      </c>
      <c r="I19" s="23">
        <f>IF(G19=0,0,H19/(G19*1000000))</f>
        <v/>
      </c>
      <c r="J19" s="12" t="inlineStr">
        <is>
          <t>high</t>
        </is>
      </c>
    </row>
    <row r="20">
      <c r="A20" s="12" t="n">
        <v>19</v>
      </c>
      <c r="B20" s="8" t="inlineStr">
        <is>
          <t>Aswan</t>
        </is>
      </c>
      <c r="C20" s="12" t="inlineStr">
        <is>
          <t>Nile Valley</t>
        </is>
      </c>
      <c r="D20" s="12" t="inlineStr">
        <is>
          <t>Drip retrofit</t>
        </is>
      </c>
      <c r="E20" s="19">
        <f>Districts!C2</f>
        <v/>
      </c>
      <c r="F20" s="19">
        <f>Districts!E2</f>
        <v/>
      </c>
      <c r="G20" s="21">
        <f>F20*E20*10*Assumptions!$D$8*Assumptions!$E$8/1000000</f>
        <v/>
      </c>
      <c r="H20" s="22">
        <f>Assumptions!$B$8/Assumptions!$C$8*E20</f>
        <v/>
      </c>
      <c r="I20" s="23">
        <f>IF(G20=0,0,H20/(G20*1000000))</f>
        <v/>
      </c>
      <c r="J20" s="12" t="inlineStr">
        <is>
          <t>medium</t>
        </is>
      </c>
    </row>
    <row r="21">
      <c r="A21" s="12" t="n">
        <v>20</v>
      </c>
      <c r="B21" s="8" t="inlineStr">
        <is>
          <t>Qena</t>
        </is>
      </c>
      <c r="C21" s="12" t="inlineStr">
        <is>
          <t>Nile Valley</t>
        </is>
      </c>
      <c r="D21" s="12" t="inlineStr">
        <is>
          <t>Drip retrofit</t>
        </is>
      </c>
      <c r="E21" s="19">
        <f>Districts!C3</f>
        <v/>
      </c>
      <c r="F21" s="19">
        <f>Districts!E3</f>
        <v/>
      </c>
      <c r="G21" s="21">
        <f>F21*E21*10*Assumptions!$D$8*Assumptions!$E$8/1000000</f>
        <v/>
      </c>
      <c r="H21" s="22">
        <f>Assumptions!$B$8/Assumptions!$C$8*E21</f>
        <v/>
      </c>
      <c r="I21" s="23">
        <f>IF(G21=0,0,H21/(G21*1000000))</f>
        <v/>
      </c>
      <c r="J21" s="12" t="inlineStr">
        <is>
          <t>medium</t>
        </is>
      </c>
    </row>
    <row r="22">
      <c r="A22" s="12" t="n">
        <v>21</v>
      </c>
      <c r="B22" s="8" t="inlineStr">
        <is>
          <t>Sohag</t>
        </is>
      </c>
      <c r="C22" s="12" t="inlineStr">
        <is>
          <t>Nile Valley</t>
        </is>
      </c>
      <c r="D22" s="12" t="inlineStr">
        <is>
          <t>Drip retrofit</t>
        </is>
      </c>
      <c r="E22" s="19">
        <f>Districts!C4</f>
        <v/>
      </c>
      <c r="F22" s="19">
        <f>Districts!E4</f>
        <v/>
      </c>
      <c r="G22" s="21">
        <f>F22*E22*10*Assumptions!$D$8*Assumptions!$E$8/1000000</f>
        <v/>
      </c>
      <c r="H22" s="22">
        <f>Assumptions!$B$8/Assumptions!$C$8*E22</f>
        <v/>
      </c>
      <c r="I22" s="23">
        <f>IF(G22=0,0,H22/(G22*1000000))</f>
        <v/>
      </c>
      <c r="J22" s="12" t="inlineStr">
        <is>
          <t>high</t>
        </is>
      </c>
    </row>
    <row r="23">
      <c r="A23" s="12" t="n">
        <v>22</v>
      </c>
      <c r="B23" s="8" t="inlineStr">
        <is>
          <t>Assiut</t>
        </is>
      </c>
      <c r="C23" s="12" t="inlineStr">
        <is>
          <t>Nile Valley</t>
        </is>
      </c>
      <c r="D23" s="12" t="inlineStr">
        <is>
          <t>Drip retrofit</t>
        </is>
      </c>
      <c r="E23" s="19">
        <f>Districts!C5</f>
        <v/>
      </c>
      <c r="F23" s="19">
        <f>Districts!E5</f>
        <v/>
      </c>
      <c r="G23" s="21">
        <f>F23*E23*10*Assumptions!$D$8*Assumptions!$E$8/1000000</f>
        <v/>
      </c>
      <c r="H23" s="22">
        <f>Assumptions!$B$8/Assumptions!$C$8*E23</f>
        <v/>
      </c>
      <c r="I23" s="23">
        <f>IF(G23=0,0,H23/(G23*1000000))</f>
        <v/>
      </c>
      <c r="J23" s="12" t="inlineStr">
        <is>
          <t>high</t>
        </is>
      </c>
    </row>
    <row r="24">
      <c r="A24" s="12" t="n">
        <v>23</v>
      </c>
      <c r="B24" s="8" t="inlineStr">
        <is>
          <t>Beni Suef</t>
        </is>
      </c>
      <c r="C24" s="12" t="inlineStr">
        <is>
          <t>Nile Valley</t>
        </is>
      </c>
      <c r="D24" s="12" t="inlineStr">
        <is>
          <t>Drip retrofit</t>
        </is>
      </c>
      <c r="E24" s="19">
        <f>Districts!C6</f>
        <v/>
      </c>
      <c r="F24" s="19">
        <f>Districts!E6</f>
        <v/>
      </c>
      <c r="G24" s="21">
        <f>F24*E24*10*Assumptions!$D$8*Assumptions!$E$8/1000000</f>
        <v/>
      </c>
      <c r="H24" s="22">
        <f>Assumptions!$B$8/Assumptions!$C$8*E24</f>
        <v/>
      </c>
      <c r="I24" s="23">
        <f>IF(G24=0,0,H24/(G24*1000000))</f>
        <v/>
      </c>
      <c r="J24" s="12" t="inlineStr">
        <is>
          <t>high</t>
        </is>
      </c>
    </row>
    <row r="25">
      <c r="A25" s="12" t="n">
        <v>24</v>
      </c>
      <c r="B25" s="8" t="inlineStr">
        <is>
          <t>Qalyubia</t>
        </is>
      </c>
      <c r="C25" s="12" t="inlineStr">
        <is>
          <t>Delta - other</t>
        </is>
      </c>
      <c r="D25" s="12" t="inlineStr">
        <is>
          <t>Drip retrofit</t>
        </is>
      </c>
      <c r="E25" s="19">
        <f>Districts!C7</f>
        <v/>
      </c>
      <c r="F25" s="19">
        <f>Districts!E7</f>
        <v/>
      </c>
      <c r="G25" s="21">
        <f>F25*E25*10*Assumptions!$D$8*Assumptions!$E$8/1000000</f>
        <v/>
      </c>
      <c r="H25" s="22">
        <f>Assumptions!$B$8/Assumptions!$C$8*E25</f>
        <v/>
      </c>
      <c r="I25" s="23">
        <f>IF(G25=0,0,H25/(G25*1000000))</f>
        <v/>
      </c>
      <c r="J25" s="12" t="inlineStr">
        <is>
          <t>high</t>
        </is>
      </c>
    </row>
    <row r="26">
      <c r="A26" s="12" t="n">
        <v>25</v>
      </c>
      <c r="B26" s="8" t="inlineStr">
        <is>
          <t>Minya</t>
        </is>
      </c>
      <c r="C26" s="12" t="inlineStr">
        <is>
          <t>Nile Valley</t>
        </is>
      </c>
      <c r="D26" s="12" t="inlineStr">
        <is>
          <t>Drip retrofit</t>
        </is>
      </c>
      <c r="E26" s="19">
        <f>Districts!C8</f>
        <v/>
      </c>
      <c r="F26" s="19">
        <f>Districts!E8</f>
        <v/>
      </c>
      <c r="G26" s="21">
        <f>F26*E26*10*Assumptions!$D$8*Assumptions!$E$8/1000000</f>
        <v/>
      </c>
      <c r="H26" s="22">
        <f>Assumptions!$B$8/Assumptions!$C$8*E26</f>
        <v/>
      </c>
      <c r="I26" s="23">
        <f>IF(G26=0,0,H26/(G26*1000000))</f>
        <v/>
      </c>
      <c r="J26" s="12" t="inlineStr">
        <is>
          <t>high</t>
        </is>
      </c>
    </row>
    <row r="27">
      <c r="A27" s="12" t="n">
        <v>26</v>
      </c>
      <c r="B27" s="8" t="inlineStr">
        <is>
          <t>Fayoum</t>
        </is>
      </c>
      <c r="C27" s="12" t="inlineStr">
        <is>
          <t>Nile Valley</t>
        </is>
      </c>
      <c r="D27" s="12" t="inlineStr">
        <is>
          <t>Drip retrofit</t>
        </is>
      </c>
      <c r="E27" s="19">
        <f>Districts!C9</f>
        <v/>
      </c>
      <c r="F27" s="19">
        <f>Districts!E9</f>
        <v/>
      </c>
      <c r="G27" s="21">
        <f>F27*E27*10*Assumptions!$D$8*Assumptions!$E$8/1000000</f>
        <v/>
      </c>
      <c r="H27" s="22">
        <f>Assumptions!$B$8/Assumptions!$C$8*E27</f>
        <v/>
      </c>
      <c r="I27" s="23">
        <f>IF(G27=0,0,H27/(G27*1000000))</f>
        <v/>
      </c>
      <c r="J27" s="12" t="inlineStr">
        <is>
          <t>high</t>
        </is>
      </c>
    </row>
    <row r="28">
      <c r="A28" s="12" t="n">
        <v>27</v>
      </c>
      <c r="B28" s="8" t="inlineStr">
        <is>
          <t>Menoufia</t>
        </is>
      </c>
      <c r="C28" s="12" t="inlineStr">
        <is>
          <t>Delta - other</t>
        </is>
      </c>
      <c r="D28" s="12" t="inlineStr">
        <is>
          <t>Drip retrofit</t>
        </is>
      </c>
      <c r="E28" s="19">
        <f>Districts!C10</f>
        <v/>
      </c>
      <c r="F28" s="19">
        <f>Districts!E10</f>
        <v/>
      </c>
      <c r="G28" s="21">
        <f>F28*E28*10*Assumptions!$D$8*Assumptions!$E$8/1000000</f>
        <v/>
      </c>
      <c r="H28" s="22">
        <f>Assumptions!$B$8/Assumptions!$C$8*E28</f>
        <v/>
      </c>
      <c r="I28" s="23">
        <f>IF(G28=0,0,H28/(G28*1000000))</f>
        <v/>
      </c>
      <c r="J28" s="12" t="inlineStr">
        <is>
          <t>high</t>
        </is>
      </c>
    </row>
    <row r="29">
      <c r="A29" s="12" t="n">
        <v>28</v>
      </c>
      <c r="B29" s="8" t="inlineStr">
        <is>
          <t>Gharbia</t>
        </is>
      </c>
      <c r="C29" s="12" t="inlineStr">
        <is>
          <t>Delta - other</t>
        </is>
      </c>
      <c r="D29" s="12" t="inlineStr">
        <is>
          <t>Drip retrofit</t>
        </is>
      </c>
      <c r="E29" s="19">
        <f>Districts!C12</f>
        <v/>
      </c>
      <c r="F29" s="19">
        <f>Districts!E12</f>
        <v/>
      </c>
      <c r="G29" s="21">
        <f>F29*E29*10*Assumptions!$D$8*Assumptions!$E$8/1000000</f>
        <v/>
      </c>
      <c r="H29" s="22">
        <f>Assumptions!$B$8/Assumptions!$C$8*E29</f>
        <v/>
      </c>
      <c r="I29" s="23">
        <f>IF(G29=0,0,H29/(G29*1000000))</f>
        <v/>
      </c>
      <c r="J29" s="12" t="inlineStr">
        <is>
          <t>high</t>
        </is>
      </c>
    </row>
    <row r="30">
      <c r="A30" s="12" t="n">
        <v>29</v>
      </c>
      <c r="B30" s="8" t="inlineStr">
        <is>
          <t>Giza</t>
        </is>
      </c>
      <c r="C30" s="12" t="inlineStr">
        <is>
          <t>Nile Valley</t>
        </is>
      </c>
      <c r="D30" s="12" t="inlineStr">
        <is>
          <t>Drip retrofit</t>
        </is>
      </c>
      <c r="E30" s="19">
        <f>Districts!C13</f>
        <v/>
      </c>
      <c r="F30" s="19">
        <f>Districts!E13</f>
        <v/>
      </c>
      <c r="G30" s="21">
        <f>F30*E30*10*Assumptions!$D$8*Assumptions!$E$8/1000000</f>
        <v/>
      </c>
      <c r="H30" s="22">
        <f>Assumptions!$B$8/Assumptions!$C$8*E30</f>
        <v/>
      </c>
      <c r="I30" s="23">
        <f>IF(G30=0,0,H30/(G30*1000000))</f>
        <v/>
      </c>
      <c r="J30" s="12" t="inlineStr">
        <is>
          <t>medium</t>
        </is>
      </c>
    </row>
    <row r="31">
      <c r="A31" s="12" t="n">
        <v>30</v>
      </c>
      <c r="B31" s="8" t="inlineStr">
        <is>
          <t>Ismailia</t>
        </is>
      </c>
      <c r="C31" s="12" t="inlineStr">
        <is>
          <t>Delta - other</t>
        </is>
      </c>
      <c r="D31" s="12" t="inlineStr">
        <is>
          <t>Drip retrofit</t>
        </is>
      </c>
      <c r="E31" s="19">
        <f>Districts!C15</f>
        <v/>
      </c>
      <c r="F31" s="19">
        <f>Districts!E15</f>
        <v/>
      </c>
      <c r="G31" s="21">
        <f>F31*E31*10*Assumptions!$D$8*Assumptions!$E$8/1000000</f>
        <v/>
      </c>
      <c r="H31" s="22">
        <f>Assumptions!$B$8/Assumptions!$C$8*E31</f>
        <v/>
      </c>
      <c r="I31" s="23">
        <f>IF(G31=0,0,H31/(G31*1000000))</f>
        <v/>
      </c>
      <c r="J31" s="12" t="inlineStr">
        <is>
          <t>medium</t>
        </is>
      </c>
    </row>
    <row r="32">
      <c r="A32" s="12" t="n">
        <v>31</v>
      </c>
      <c r="B32" s="8" t="inlineStr">
        <is>
          <t>Sharqia</t>
        </is>
      </c>
      <c r="C32" s="12" t="inlineStr">
        <is>
          <t>Delta - rice belt</t>
        </is>
      </c>
      <c r="D32" s="12" t="inlineStr">
        <is>
          <t>Alternate wetting &amp; drying (rice)</t>
        </is>
      </c>
      <c r="E32" s="19">
        <f>Districts!C11</f>
        <v/>
      </c>
      <c r="F32" s="19">
        <f>Districts!E11</f>
        <v/>
      </c>
      <c r="G32" s="21">
        <f>F32*E32*10*Assumptions!$D$6*Assumptions!$E$6/1000000</f>
        <v/>
      </c>
      <c r="H32" s="22">
        <f>Assumptions!$B$6/Assumptions!$C$6*E32</f>
        <v/>
      </c>
      <c r="I32" s="23">
        <f>IF(G32=0,0,H32/(G32*1000000))</f>
        <v/>
      </c>
      <c r="J32" s="12" t="inlineStr">
        <is>
          <t>high</t>
        </is>
      </c>
    </row>
    <row r="33">
      <c r="A33" s="12" t="n">
        <v>32</v>
      </c>
      <c r="B33" s="8" t="inlineStr">
        <is>
          <t>Dakahlia</t>
        </is>
      </c>
      <c r="C33" s="12" t="inlineStr">
        <is>
          <t>Delta - rice belt</t>
        </is>
      </c>
      <c r="D33" s="12" t="inlineStr">
        <is>
          <t>Alternate wetting &amp; drying (rice)</t>
        </is>
      </c>
      <c r="E33" s="19">
        <f>Districts!C14</f>
        <v/>
      </c>
      <c r="F33" s="19">
        <f>Districts!E14</f>
        <v/>
      </c>
      <c r="G33" s="21">
        <f>F33*E33*10*Assumptions!$D$6*Assumptions!$E$6/1000000</f>
        <v/>
      </c>
      <c r="H33" s="22">
        <f>Assumptions!$B$6/Assumptions!$C$6*E33</f>
        <v/>
      </c>
      <c r="I33" s="23">
        <f>IF(G33=0,0,H33/(G33*1000000))</f>
        <v/>
      </c>
      <c r="J33" s="12" t="inlineStr">
        <is>
          <t>high</t>
        </is>
      </c>
    </row>
    <row r="34">
      <c r="A34" s="12" t="n">
        <v>33</v>
      </c>
      <c r="B34" s="8" t="inlineStr">
        <is>
          <t>Kafr El Sheikh</t>
        </is>
      </c>
      <c r="C34" s="12" t="inlineStr">
        <is>
          <t>Delta - rice belt</t>
        </is>
      </c>
      <c r="D34" s="12" t="inlineStr">
        <is>
          <t>Alternate wetting &amp; drying (rice)</t>
        </is>
      </c>
      <c r="E34" s="19">
        <f>Districts!C16</f>
        <v/>
      </c>
      <c r="F34" s="19">
        <f>Districts!E16</f>
        <v/>
      </c>
      <c r="G34" s="21">
        <f>F34*E34*10*Assumptions!$D$6*Assumptions!$E$6/1000000</f>
        <v/>
      </c>
      <c r="H34" s="22">
        <f>Assumptions!$B$6/Assumptions!$C$6*E34</f>
        <v/>
      </c>
      <c r="I34" s="23">
        <f>IF(G34=0,0,H34/(G34*1000000))</f>
        <v/>
      </c>
      <c r="J34" s="12" t="inlineStr">
        <is>
          <t>high</t>
        </is>
      </c>
    </row>
    <row r="35">
      <c r="A35" s="12" t="n">
        <v>34</v>
      </c>
      <c r="B35" s="8" t="inlineStr">
        <is>
          <t>Beheira</t>
        </is>
      </c>
      <c r="C35" s="12" t="inlineStr">
        <is>
          <t>Delta - rice belt</t>
        </is>
      </c>
      <c r="D35" s="12" t="inlineStr">
        <is>
          <t>Alternate wetting &amp; drying (rice)</t>
        </is>
      </c>
      <c r="E35" s="19">
        <f>Districts!C17</f>
        <v/>
      </c>
      <c r="F35" s="19">
        <f>Districts!E17</f>
        <v/>
      </c>
      <c r="G35" s="21">
        <f>F35*E35*10*Assumptions!$D$6*Assumptions!$E$6/1000000</f>
        <v/>
      </c>
      <c r="H35" s="22">
        <f>Assumptions!$B$6/Assumptions!$C$6*E35</f>
        <v/>
      </c>
      <c r="I35" s="23">
        <f>IF(G35=0,0,H35/(G35*1000000))</f>
        <v/>
      </c>
      <c r="J35" s="12" t="inlineStr">
        <is>
          <t>high</t>
        </is>
      </c>
    </row>
    <row r="36">
      <c r="A36" s="12" t="n">
        <v>35</v>
      </c>
      <c r="B36" s="8" t="inlineStr">
        <is>
          <t>Alexandria</t>
        </is>
      </c>
      <c r="C36" s="12" t="inlineStr">
        <is>
          <t>Delta - other</t>
        </is>
      </c>
      <c r="D36" s="12" t="inlineStr">
        <is>
          <t>Drip retrofit</t>
        </is>
      </c>
      <c r="E36" s="19">
        <f>Districts!C19</f>
        <v/>
      </c>
      <c r="F36" s="19">
        <f>Districts!E19</f>
        <v/>
      </c>
      <c r="G36" s="21">
        <f>F36*E36*10*Assumptions!$D$8*Assumptions!$E$8/1000000</f>
        <v/>
      </c>
      <c r="H36" s="22">
        <f>Assumptions!$B$8/Assumptions!$C$8*E36</f>
        <v/>
      </c>
      <c r="I36" s="23">
        <f>IF(G36=0,0,H36/(G36*1000000))</f>
        <v/>
      </c>
      <c r="J36" s="12" t="inlineStr">
        <is>
          <t>high</t>
        </is>
      </c>
    </row>
    <row r="37">
      <c r="A37" s="12" t="n">
        <v>36</v>
      </c>
      <c r="B37" s="8" t="inlineStr">
        <is>
          <t>Damietta</t>
        </is>
      </c>
      <c r="C37" s="12" t="inlineStr">
        <is>
          <t>Delta - rice belt</t>
        </is>
      </c>
      <c r="D37" s="12" t="inlineStr">
        <is>
          <t>Alternate wetting &amp; drying (rice)</t>
        </is>
      </c>
      <c r="E37" s="19">
        <f>Districts!C18</f>
        <v/>
      </c>
      <c r="F37" s="19">
        <f>Districts!E18</f>
        <v/>
      </c>
      <c r="G37" s="21">
        <f>F37*E37*10*Assumptions!$D$6*Assumptions!$E$6/1000000</f>
        <v/>
      </c>
      <c r="H37" s="22">
        <f>Assumptions!$B$6/Assumptions!$C$6*E37</f>
        <v/>
      </c>
      <c r="I37" s="23">
        <f>IF(G37=0,0,H37/(G37*1000000))</f>
        <v/>
      </c>
      <c r="J37" s="12" t="inlineStr">
        <is>
          <t>high</t>
        </is>
      </c>
    </row>
    <row r="38">
      <c r="A38" s="12" t="n">
        <v>37</v>
      </c>
      <c r="B38" s="8" t="inlineStr">
        <is>
          <t>Aswan</t>
        </is>
      </c>
      <c r="C38" s="12" t="inlineStr">
        <is>
          <t>Nile Valley</t>
        </is>
      </c>
      <c r="D38" s="12" t="inlineStr">
        <is>
          <t>Straw / plastic mulching</t>
        </is>
      </c>
      <c r="E38" s="19">
        <f>Districts!C2</f>
        <v/>
      </c>
      <c r="F38" s="19">
        <f>Districts!E2</f>
        <v/>
      </c>
      <c r="G38" s="21">
        <f>F38*E38*10*Assumptions!$D$7*Assumptions!$E$7/1000000</f>
        <v/>
      </c>
      <c r="H38" s="22">
        <f>Assumptions!$B$7/Assumptions!$C$7*E38</f>
        <v/>
      </c>
      <c r="I38" s="23">
        <f>IF(G38=0,0,H38/(G38*1000000))</f>
        <v/>
      </c>
      <c r="J38" s="12" t="inlineStr">
        <is>
          <t>medium</t>
        </is>
      </c>
    </row>
    <row r="39">
      <c r="A39" s="12" t="n">
        <v>38</v>
      </c>
      <c r="B39" s="8" t="inlineStr">
        <is>
          <t>Qena</t>
        </is>
      </c>
      <c r="C39" s="12" t="inlineStr">
        <is>
          <t>Nile Valley</t>
        </is>
      </c>
      <c r="D39" s="12" t="inlineStr">
        <is>
          <t>Straw / plastic mulching</t>
        </is>
      </c>
      <c r="E39" s="19">
        <f>Districts!C3</f>
        <v/>
      </c>
      <c r="F39" s="19">
        <f>Districts!E3</f>
        <v/>
      </c>
      <c r="G39" s="21">
        <f>F39*E39*10*Assumptions!$D$7*Assumptions!$E$7/1000000</f>
        <v/>
      </c>
      <c r="H39" s="22">
        <f>Assumptions!$B$7/Assumptions!$C$7*E39</f>
        <v/>
      </c>
      <c r="I39" s="23">
        <f>IF(G39=0,0,H39/(G39*1000000))</f>
        <v/>
      </c>
      <c r="J39" s="12" t="inlineStr">
        <is>
          <t>medium</t>
        </is>
      </c>
    </row>
    <row r="40">
      <c r="A40" s="12" t="n">
        <v>39</v>
      </c>
      <c r="B40" s="8" t="inlineStr">
        <is>
          <t>Sohag</t>
        </is>
      </c>
      <c r="C40" s="12" t="inlineStr">
        <is>
          <t>Nile Valley</t>
        </is>
      </c>
      <c r="D40" s="12" t="inlineStr">
        <is>
          <t>Straw / plastic mulching</t>
        </is>
      </c>
      <c r="E40" s="19">
        <f>Districts!C4</f>
        <v/>
      </c>
      <c r="F40" s="19">
        <f>Districts!E4</f>
        <v/>
      </c>
      <c r="G40" s="21">
        <f>F40*E40*10*Assumptions!$D$7*Assumptions!$E$7/1000000</f>
        <v/>
      </c>
      <c r="H40" s="22">
        <f>Assumptions!$B$7/Assumptions!$C$7*E40</f>
        <v/>
      </c>
      <c r="I40" s="23">
        <f>IF(G40=0,0,H40/(G40*1000000))</f>
        <v/>
      </c>
      <c r="J40" s="12" t="inlineStr">
        <is>
          <t>high</t>
        </is>
      </c>
    </row>
    <row r="41">
      <c r="A41" s="12" t="n">
        <v>40</v>
      </c>
      <c r="B41" s="8" t="inlineStr">
        <is>
          <t>Assiut</t>
        </is>
      </c>
      <c r="C41" s="12" t="inlineStr">
        <is>
          <t>Nile Valley</t>
        </is>
      </c>
      <c r="D41" s="12" t="inlineStr">
        <is>
          <t>Straw / plastic mulching</t>
        </is>
      </c>
      <c r="E41" s="19">
        <f>Districts!C5</f>
        <v/>
      </c>
      <c r="F41" s="19">
        <f>Districts!E5</f>
        <v/>
      </c>
      <c r="G41" s="21">
        <f>F41*E41*10*Assumptions!$D$7*Assumptions!$E$7/1000000</f>
        <v/>
      </c>
      <c r="H41" s="22">
        <f>Assumptions!$B$7/Assumptions!$C$7*E41</f>
        <v/>
      </c>
      <c r="I41" s="23">
        <f>IF(G41=0,0,H41/(G41*1000000))</f>
        <v/>
      </c>
      <c r="J41" s="12" t="inlineStr">
        <is>
          <t>high</t>
        </is>
      </c>
    </row>
    <row r="42">
      <c r="A42" s="12" t="n">
        <v>41</v>
      </c>
      <c r="B42" s="8" t="inlineStr">
        <is>
          <t>Beni Suef</t>
        </is>
      </c>
      <c r="C42" s="12" t="inlineStr">
        <is>
          <t>Nile Valley</t>
        </is>
      </c>
      <c r="D42" s="12" t="inlineStr">
        <is>
          <t>Straw / plastic mulching</t>
        </is>
      </c>
      <c r="E42" s="19">
        <f>Districts!C6</f>
        <v/>
      </c>
      <c r="F42" s="19">
        <f>Districts!E6</f>
        <v/>
      </c>
      <c r="G42" s="21">
        <f>F42*E42*10*Assumptions!$D$7*Assumptions!$E$7/1000000</f>
        <v/>
      </c>
      <c r="H42" s="22">
        <f>Assumptions!$B$7/Assumptions!$C$7*E42</f>
        <v/>
      </c>
      <c r="I42" s="23">
        <f>IF(G42=0,0,H42/(G42*1000000))</f>
        <v/>
      </c>
      <c r="J42" s="12" t="inlineStr">
        <is>
          <t>high</t>
        </is>
      </c>
    </row>
    <row r="43">
      <c r="A43" s="12" t="n">
        <v>42</v>
      </c>
      <c r="B43" s="8" t="inlineStr">
        <is>
          <t>Qalyubia</t>
        </is>
      </c>
      <c r="C43" s="12" t="inlineStr">
        <is>
          <t>Delta - other</t>
        </is>
      </c>
      <c r="D43" s="12" t="inlineStr">
        <is>
          <t>Straw / plastic mulching</t>
        </is>
      </c>
      <c r="E43" s="19">
        <f>Districts!C7</f>
        <v/>
      </c>
      <c r="F43" s="19">
        <f>Districts!E7</f>
        <v/>
      </c>
      <c r="G43" s="21">
        <f>F43*E43*10*Assumptions!$D$7*Assumptions!$E$7/1000000</f>
        <v/>
      </c>
      <c r="H43" s="22">
        <f>Assumptions!$B$7/Assumptions!$C$7*E43</f>
        <v/>
      </c>
      <c r="I43" s="23">
        <f>IF(G43=0,0,H43/(G43*1000000))</f>
        <v/>
      </c>
      <c r="J43" s="12" t="inlineStr">
        <is>
          <t>high</t>
        </is>
      </c>
    </row>
    <row r="44">
      <c r="A44" s="12" t="n">
        <v>43</v>
      </c>
      <c r="B44" s="8" t="inlineStr">
        <is>
          <t>Minya</t>
        </is>
      </c>
      <c r="C44" s="12" t="inlineStr">
        <is>
          <t>Nile Valley</t>
        </is>
      </c>
      <c r="D44" s="12" t="inlineStr">
        <is>
          <t>Straw / plastic mulching</t>
        </is>
      </c>
      <c r="E44" s="19">
        <f>Districts!C8</f>
        <v/>
      </c>
      <c r="F44" s="19">
        <f>Districts!E8</f>
        <v/>
      </c>
      <c r="G44" s="21">
        <f>F44*E44*10*Assumptions!$D$7*Assumptions!$E$7/1000000</f>
        <v/>
      </c>
      <c r="H44" s="22">
        <f>Assumptions!$B$7/Assumptions!$C$7*E44</f>
        <v/>
      </c>
      <c r="I44" s="23">
        <f>IF(G44=0,0,H44/(G44*1000000))</f>
        <v/>
      </c>
      <c r="J44" s="12" t="inlineStr">
        <is>
          <t>high</t>
        </is>
      </c>
    </row>
    <row r="45">
      <c r="A45" s="12" t="n">
        <v>44</v>
      </c>
      <c r="B45" s="8" t="inlineStr">
        <is>
          <t>Fayoum</t>
        </is>
      </c>
      <c r="C45" s="12" t="inlineStr">
        <is>
          <t>Nile Valley</t>
        </is>
      </c>
      <c r="D45" s="12" t="inlineStr">
        <is>
          <t>Straw / plastic mulching</t>
        </is>
      </c>
      <c r="E45" s="19">
        <f>Districts!C9</f>
        <v/>
      </c>
      <c r="F45" s="19">
        <f>Districts!E9</f>
        <v/>
      </c>
      <c r="G45" s="21">
        <f>F45*E45*10*Assumptions!$D$7*Assumptions!$E$7/1000000</f>
        <v/>
      </c>
      <c r="H45" s="22">
        <f>Assumptions!$B$7/Assumptions!$C$7*E45</f>
        <v/>
      </c>
      <c r="I45" s="23">
        <f>IF(G45=0,0,H45/(G45*1000000))</f>
        <v/>
      </c>
      <c r="J45" s="12" t="inlineStr">
        <is>
          <t>high</t>
        </is>
      </c>
    </row>
    <row r="46">
      <c r="A46" s="12" t="n">
        <v>45</v>
      </c>
      <c r="B46" s="8" t="inlineStr">
        <is>
          <t>Menoufia</t>
        </is>
      </c>
      <c r="C46" s="12" t="inlineStr">
        <is>
          <t>Delta - other</t>
        </is>
      </c>
      <c r="D46" s="12" t="inlineStr">
        <is>
          <t>Straw / plastic mulching</t>
        </is>
      </c>
      <c r="E46" s="19">
        <f>Districts!C10</f>
        <v/>
      </c>
      <c r="F46" s="19">
        <f>Districts!E10</f>
        <v/>
      </c>
      <c r="G46" s="21">
        <f>F46*E46*10*Assumptions!$D$7*Assumptions!$E$7/1000000</f>
        <v/>
      </c>
      <c r="H46" s="22">
        <f>Assumptions!$B$7/Assumptions!$C$7*E46</f>
        <v/>
      </c>
      <c r="I46" s="23">
        <f>IF(G46=0,0,H46/(G46*1000000))</f>
        <v/>
      </c>
      <c r="J46" s="12" t="inlineStr">
        <is>
          <t>high</t>
        </is>
      </c>
    </row>
    <row r="47">
      <c r="A47" s="12" t="n">
        <v>46</v>
      </c>
      <c r="B47" s="8" t="inlineStr">
        <is>
          <t>Gharbia</t>
        </is>
      </c>
      <c r="C47" s="12" t="inlineStr">
        <is>
          <t>Delta - other</t>
        </is>
      </c>
      <c r="D47" s="12" t="inlineStr">
        <is>
          <t>Straw / plastic mulching</t>
        </is>
      </c>
      <c r="E47" s="19">
        <f>Districts!C12</f>
        <v/>
      </c>
      <c r="F47" s="19">
        <f>Districts!E12</f>
        <v/>
      </c>
      <c r="G47" s="21">
        <f>F47*E47*10*Assumptions!$D$7*Assumptions!$E$7/1000000</f>
        <v/>
      </c>
      <c r="H47" s="22">
        <f>Assumptions!$B$7/Assumptions!$C$7*E47</f>
        <v/>
      </c>
      <c r="I47" s="23">
        <f>IF(G47=0,0,H47/(G47*1000000))</f>
        <v/>
      </c>
      <c r="J47" s="12" t="inlineStr">
        <is>
          <t>high</t>
        </is>
      </c>
    </row>
    <row r="48">
      <c r="A48" s="12" t="n">
        <v>47</v>
      </c>
      <c r="B48" s="8" t="inlineStr">
        <is>
          <t>Giza</t>
        </is>
      </c>
      <c r="C48" s="12" t="inlineStr">
        <is>
          <t>Nile Valley</t>
        </is>
      </c>
      <c r="D48" s="12" t="inlineStr">
        <is>
          <t>Straw / plastic mulching</t>
        </is>
      </c>
      <c r="E48" s="19">
        <f>Districts!C13</f>
        <v/>
      </c>
      <c r="F48" s="19">
        <f>Districts!E13</f>
        <v/>
      </c>
      <c r="G48" s="21">
        <f>F48*E48*10*Assumptions!$D$7*Assumptions!$E$7/1000000</f>
        <v/>
      </c>
      <c r="H48" s="22">
        <f>Assumptions!$B$7/Assumptions!$C$7*E48</f>
        <v/>
      </c>
      <c r="I48" s="23">
        <f>IF(G48=0,0,H48/(G48*1000000))</f>
        <v/>
      </c>
      <c r="J48" s="12" t="inlineStr">
        <is>
          <t>medium</t>
        </is>
      </c>
    </row>
    <row r="49">
      <c r="A49" s="12" t="n">
        <v>48</v>
      </c>
      <c r="B49" s="8" t="inlineStr">
        <is>
          <t>Ismailia</t>
        </is>
      </c>
      <c r="C49" s="12" t="inlineStr">
        <is>
          <t>Delta - other</t>
        </is>
      </c>
      <c r="D49" s="12" t="inlineStr">
        <is>
          <t>Straw / plastic mulching</t>
        </is>
      </c>
      <c r="E49" s="19">
        <f>Districts!C15</f>
        <v/>
      </c>
      <c r="F49" s="19">
        <f>Districts!E15</f>
        <v/>
      </c>
      <c r="G49" s="21">
        <f>F49*E49*10*Assumptions!$D$7*Assumptions!$E$7/1000000</f>
        <v/>
      </c>
      <c r="H49" s="22">
        <f>Assumptions!$B$7/Assumptions!$C$7*E49</f>
        <v/>
      </c>
      <c r="I49" s="23">
        <f>IF(G49=0,0,H49/(G49*1000000))</f>
        <v/>
      </c>
      <c r="J49" s="12" t="inlineStr">
        <is>
          <t>medium</t>
        </is>
      </c>
    </row>
    <row r="50">
      <c r="A50" s="12" t="n">
        <v>49</v>
      </c>
      <c r="B50" s="8" t="inlineStr">
        <is>
          <t>Alexandria</t>
        </is>
      </c>
      <c r="C50" s="12" t="inlineStr">
        <is>
          <t>Delta - other</t>
        </is>
      </c>
      <c r="D50" s="12" t="inlineStr">
        <is>
          <t>Straw / plastic mulching</t>
        </is>
      </c>
      <c r="E50" s="19">
        <f>Districts!C19</f>
        <v/>
      </c>
      <c r="F50" s="19">
        <f>Districts!E19</f>
        <v/>
      </c>
      <c r="G50" s="21">
        <f>F50*E50*10*Assumptions!$D$7*Assumptions!$E$7/1000000</f>
        <v/>
      </c>
      <c r="H50" s="22">
        <f>Assumptions!$B$7/Assumptions!$C$7*E50</f>
        <v/>
      </c>
      <c r="I50" s="23">
        <f>IF(G50=0,0,H50/(G50*1000000))</f>
        <v/>
      </c>
      <c r="J50" s="12" t="inlineStr">
        <is>
          <t>high</t>
        </is>
      </c>
    </row>
    <row r="52">
      <c r="A52" s="6" t="inlineStr">
        <is>
          <t>Ranked by cost of saved water, cheapest first. Row order was computed in Python from the assumptions as saved; editing Assumptions updates USD/m3 but does not re-sort the rows.</t>
        </is>
      </c>
    </row>
    <row r="53">
      <c r="A53" s="6" t="inlineStr">
        <is>
          <t>Mulching and drip retrofit are never selected at any budget tested ($6M-$80M). They are modelled for completeness.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48" customWidth="1" min="1" max="1"/>
    <col width="20" customWidth="1" min="2" max="2"/>
    <col width="30" customWidth="1" min="3" max="3"/>
    <col width="14" customWidth="1" min="4" max="4"/>
    <col width="16" customWidth="1" min="5" max="5"/>
    <col width="16" customWidth="1" min="6" max="6"/>
  </cols>
  <sheetData>
    <row r="1">
      <c r="A1" s="5" t="inlineStr">
        <is>
          <t>Budget allocation - the decision</t>
        </is>
      </c>
    </row>
    <row r="2">
      <c r="A2" s="6" t="inlineStr">
        <is>
          <t>Cheapest water first, down the ranked list, until the budget is exhausted. One measure per governorate.</t>
        </is>
      </c>
    </row>
    <row r="4">
      <c r="A4" s="7" t="inlineStr">
        <is>
          <t>#</t>
        </is>
      </c>
      <c r="B4" s="7" t="inlineStr">
        <is>
          <t>Governorate</t>
        </is>
      </c>
      <c r="C4" s="7" t="inlineStr">
        <is>
          <t>Intervention</t>
        </is>
      </c>
      <c r="D4" s="7" t="inlineStr">
        <is>
          <t>Funded USD</t>
        </is>
      </c>
      <c r="E4" s="7" t="inlineStr">
        <is>
          <t>Hectares treated</t>
        </is>
      </c>
      <c r="F4" s="7" t="inlineStr">
        <is>
          <t>Water saved Mm3</t>
        </is>
      </c>
    </row>
    <row r="5">
      <c r="A5" s="12" t="n">
        <v>1</v>
      </c>
      <c r="B5" s="8" t="inlineStr">
        <is>
          <t>Aswan</t>
        </is>
      </c>
      <c r="C5" s="12" t="inlineStr">
        <is>
          <t>Laser land levelling</t>
        </is>
      </c>
      <c r="D5" s="22" t="n">
        <v>1190250</v>
      </c>
      <c r="E5" s="19" t="n">
        <v>79350</v>
      </c>
      <c r="F5" s="21" t="n">
        <v>29.5182</v>
      </c>
    </row>
    <row r="6">
      <c r="A6" s="12" t="n">
        <v>2</v>
      </c>
      <c r="B6" s="8" t="inlineStr">
        <is>
          <t>Qena</t>
        </is>
      </c>
      <c r="C6" s="12" t="inlineStr">
        <is>
          <t>Laser land levelling</t>
        </is>
      </c>
      <c r="D6" s="22" t="n">
        <v>2737530</v>
      </c>
      <c r="E6" s="19" t="n">
        <v>182502</v>
      </c>
      <c r="F6" s="21" t="n">
        <v>67.81774320000001</v>
      </c>
    </row>
    <row r="7">
      <c r="A7" s="12" t="n">
        <v>3</v>
      </c>
      <c r="B7" s="8" t="inlineStr">
        <is>
          <t>Sohag</t>
        </is>
      </c>
      <c r="C7" s="12" t="inlineStr">
        <is>
          <t>Laser land levelling</t>
        </is>
      </c>
      <c r="D7" s="22" t="n">
        <v>2167830</v>
      </c>
      <c r="E7" s="19" t="n">
        <v>144522</v>
      </c>
      <c r="F7" s="21" t="n">
        <v>50.8428396</v>
      </c>
    </row>
    <row r="8">
      <c r="A8" s="12" t="n">
        <v>4</v>
      </c>
      <c r="B8" s="8" t="inlineStr">
        <is>
          <t>Assiut</t>
        </is>
      </c>
      <c r="C8" s="12" t="inlineStr">
        <is>
          <t>Laser land levelling</t>
        </is>
      </c>
      <c r="D8" s="22" t="n">
        <v>2230020</v>
      </c>
      <c r="E8" s="19" t="n">
        <v>148668</v>
      </c>
      <c r="F8" s="21" t="n">
        <v>48.3468336</v>
      </c>
    </row>
    <row r="9">
      <c r="A9" s="12" t="n">
        <v>5</v>
      </c>
      <c r="B9" s="8" t="inlineStr">
        <is>
          <t>Beni Suef</t>
        </is>
      </c>
      <c r="C9" s="12" t="inlineStr">
        <is>
          <t>Laser land levelling</t>
        </is>
      </c>
      <c r="D9" s="22" t="n">
        <v>1965810</v>
      </c>
      <c r="E9" s="19" t="n">
        <v>131054</v>
      </c>
      <c r="F9" s="21" t="n">
        <v>41.7275936</v>
      </c>
    </row>
    <row r="10">
      <c r="A10" s="12" t="n">
        <v>6</v>
      </c>
      <c r="B10" s="8" t="inlineStr">
        <is>
          <t>Qalyubia</t>
        </is>
      </c>
      <c r="C10" s="12" t="inlineStr">
        <is>
          <t>Laser land levelling</t>
        </is>
      </c>
      <c r="D10" s="22" t="n">
        <v>1124325</v>
      </c>
      <c r="E10" s="19" t="n">
        <v>74955</v>
      </c>
      <c r="F10" s="21" t="n">
        <v>22.921239</v>
      </c>
    </row>
    <row r="11">
      <c r="A11" s="12" t="n">
        <v>7</v>
      </c>
      <c r="B11" s="8" t="inlineStr">
        <is>
          <t>Minya</t>
        </is>
      </c>
      <c r="C11" s="12" t="inlineStr">
        <is>
          <t>Laser land levelling</t>
        </is>
      </c>
      <c r="D11" s="22" t="n">
        <v>584235</v>
      </c>
      <c r="E11" s="19" t="n">
        <v>38949</v>
      </c>
      <c r="F11" s="21" t="n">
        <v>11.8327062</v>
      </c>
    </row>
    <row r="12">
      <c r="C12" s="14" t="inlineStr">
        <is>
          <t>TOTAL</t>
        </is>
      </c>
      <c r="D12" s="24">
        <f>SUM(D5:D11)</f>
        <v/>
      </c>
      <c r="F12" s="25">
        <f>SUM(F5:F11)</f>
        <v/>
      </c>
    </row>
    <row r="14">
      <c r="A14" s="5" t="inlineStr">
        <is>
          <t>RESULT</t>
        </is>
      </c>
    </row>
    <row r="15">
      <c r="A15" s="14" t="inlineStr">
        <is>
          <t>Budget</t>
        </is>
      </c>
      <c r="B15" s="24">
        <f>Assumptions!$B$10</f>
        <v/>
      </c>
    </row>
    <row r="16">
      <c r="A16" s="14" t="inlineStr">
        <is>
          <t>Water recovered - targeted (Mm3)</t>
        </is>
      </c>
      <c r="B16" s="25">
        <f>F12</f>
        <v/>
      </c>
    </row>
    <row r="17">
      <c r="A17" s="14" t="inlineStr">
        <is>
          <t>Water recovered - area-proportional baseline (Mm3)</t>
        </is>
      </c>
      <c r="B17" s="25" t="n">
        <v>218.1</v>
      </c>
    </row>
    <row r="18">
      <c r="A18" s="14" t="inlineStr">
        <is>
          <t>Advantage of targeting</t>
        </is>
      </c>
      <c r="B18" s="26">
        <f>IF(B17=0,0,B16/B17-1)</f>
        <v/>
      </c>
    </row>
    <row r="19">
      <c r="A19" s="14" t="inlineStr">
        <is>
          <t>Cost of water - targeted (USD/m3)</t>
        </is>
      </c>
      <c r="B19" s="27">
        <f>IF(B16=0,0,D12/(B16*1000000))</f>
        <v/>
      </c>
    </row>
    <row r="20">
      <c r="A20" s="14" t="inlineStr">
        <is>
          <t>Cost of water - baseline (USD/m3)</t>
        </is>
      </c>
      <c r="B20" s="27" t="n">
        <v>0.055</v>
      </c>
    </row>
    <row r="21">
      <c r="A21" s="14" t="inlineStr">
        <is>
          <t>Total non-beneficial evaporation, study area (Mm3)</t>
        </is>
      </c>
      <c r="B21" s="20">
        <f>Districts!I20</f>
        <v/>
      </c>
    </row>
    <row r="23">
      <c r="A23" s="6" t="inlineStr">
        <is>
          <t>The baseline is a Python-computed constant: it depends on the full area-weighted allocation, which does not reduce to a single cell formula. Re-run pipeline/04_rank_and_allocate.py after changing assumptions.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56" customWidth="1" min="1" max="1"/>
    <col width="34" customWidth="1" min="2" max="2"/>
    <col width="13" customWidth="1" min="3" max="3"/>
    <col width="13" customWidth="1" min="4" max="4"/>
    <col width="9" customWidth="1" min="5" max="5"/>
    <col width="10" customWidth="1" min="6" max="6"/>
  </cols>
  <sheetData>
    <row r="1">
      <c r="A1" s="5" t="inlineStr">
        <is>
          <t>How much of the result is actually WaPOR?</t>
        </is>
      </c>
    </row>
    <row r="2">
      <c r="A2" s="6" t="inlineStr">
        <is>
          <t>The allocation re-run with WaPOR progressively removed. This is the question a reviewer will ask, so we answer it first.</t>
        </is>
      </c>
    </row>
    <row r="4">
      <c r="A4" s="7" t="inlineStr">
        <is>
          <t>Information available</t>
        </is>
      </c>
      <c r="B4" s="7" t="inlineStr">
        <is>
          <t>What that represents</t>
        </is>
      </c>
      <c r="C4" s="7" t="inlineStr">
        <is>
          <t>Targeted Mm3</t>
        </is>
      </c>
      <c r="D4" s="7" t="inlineStr">
        <is>
          <t>Baseline Mm3</t>
        </is>
      </c>
      <c r="E4" s="7" t="inlineStr">
        <is>
          <t>Gain</t>
        </is>
      </c>
      <c r="F4" s="7" t="inlineStr">
        <is>
          <t>USD/m3</t>
        </is>
      </c>
    </row>
    <row r="5">
      <c r="A5" s="8" t="inlineStr">
        <is>
          <t>Real per-district evaporation</t>
        </is>
      </c>
      <c r="B5" s="28" t="inlineStr">
        <is>
          <t>what WaPOR gives you</t>
        </is>
      </c>
      <c r="C5" s="21" t="n">
        <v>273</v>
      </c>
      <c r="D5" s="21" t="n">
        <v>218.1</v>
      </c>
      <c r="E5" s="29" t="n">
        <v>0.252</v>
      </c>
      <c r="F5" s="23" t="n">
        <v>0.044</v>
      </c>
    </row>
    <row r="6">
      <c r="A6" s="8" t="inlineStr">
        <is>
          <t>Evaporation as a per-system average</t>
        </is>
      </c>
      <c r="B6" s="28" t="inlineStr">
        <is>
          <t>an agronomy textbook</t>
        </is>
      </c>
      <c r="C6" s="21" t="n">
        <v>261.7</v>
      </c>
      <c r="D6" s="21" t="n">
        <v>215.4</v>
      </c>
      <c r="E6" s="29" t="n">
        <v>0.215</v>
      </c>
      <c r="F6" s="23" t="n">
        <v>0.0459</v>
      </c>
    </row>
    <row r="7">
      <c r="A7" s="8" t="inlineStr">
        <is>
          <t>Evaporation spatially flat</t>
        </is>
      </c>
      <c r="B7" s="28" t="inlineStr">
        <is>
          <t>no satellite at all</t>
        </is>
      </c>
      <c r="C7" s="21" t="n">
        <v>225.4</v>
      </c>
      <c r="D7" s="21" t="n">
        <v>225.4</v>
      </c>
      <c r="E7" s="29" t="n">
        <v>0</v>
      </c>
      <c r="F7" s="23" t="n">
        <v>0.0532</v>
      </c>
    </row>
    <row r="9">
      <c r="A9" s="14" t="inlineStr">
        <is>
          <t>Attributable to satellite DETAIL (full minus per-system)</t>
        </is>
      </c>
      <c r="E9" s="26" t="n">
        <v>0.03699999999999999</v>
      </c>
    </row>
    <row r="11">
      <c r="A11" s="14" t="inlineStr">
        <is>
          <t>Two honest conclusions:</t>
        </is>
      </c>
    </row>
    <row r="12">
      <c r="A12" s="16" t="inlineStr">
        <is>
          <t>1. With evaporation spatially flat, targeting gains nothing. The entire advantage is spatial - that is the real argument for the satellite.</t>
        </is>
      </c>
    </row>
    <row r="13">
      <c r="A13" s="16" t="inlineStr">
        <is>
          <t>2. But about two thirds of it is recoverable from a coarse agronomic classification. The part needing genuine satellite detail is the figure in row 9.</t>
        </is>
      </c>
    </row>
    <row r="14">
      <c r="A14" s="16" t="inlineStr">
        <is>
          <t>Stating this ourselves is worth more than having it derived for us in a review.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13" customWidth="1" min="1" max="1"/>
    <col width="19" customWidth="1" min="2" max="2"/>
    <col width="19" customWidth="1" min="3" max="3"/>
    <col width="10" customWidth="1" min="4" max="4"/>
    <col width="26" customWidth="1" min="5" max="5"/>
  </cols>
  <sheetData>
    <row r="1">
      <c r="A1" s="5" t="inlineStr">
        <is>
          <t>What an equity floor costs</t>
        </is>
      </c>
    </row>
    <row r="2">
      <c r="A2" s="6" t="inlineStr">
        <is>
          <t>The equity floor is the share of the budget spread across EVERY district by area before the rest is targeted. Pure cheapest-first funds four governorates out of twenty; no ministry with an equity mandate signs that. Pricing the constraint is more useful than optimising around it.</t>
        </is>
      </c>
    </row>
    <row r="4">
      <c r="A4" s="7" t="inlineStr">
        <is>
          <t>Equity floor</t>
        </is>
      </c>
      <c r="B4" s="7" t="inlineStr">
        <is>
          <t>Governorates funded</t>
        </is>
      </c>
      <c r="C4" s="7" t="inlineStr">
        <is>
          <t>Water recovered Mm3</t>
        </is>
      </c>
      <c r="D4" s="7" t="inlineStr">
        <is>
          <t>USD/m3</t>
        </is>
      </c>
      <c r="E4" s="7" t="inlineStr">
        <is>
          <t>Water lost vs pure targeting</t>
        </is>
      </c>
    </row>
    <row r="5">
      <c r="A5" s="29" t="n">
        <v>0</v>
      </c>
      <c r="B5" s="12" t="n">
        <v>7</v>
      </c>
      <c r="C5" s="21" t="n">
        <v>273</v>
      </c>
      <c r="D5" s="23" t="n">
        <v>0.044</v>
      </c>
      <c r="E5" s="30" t="n">
        <v>0</v>
      </c>
    </row>
    <row r="6">
      <c r="A6" s="29" t="n">
        <v>0.25</v>
      </c>
      <c r="B6" s="12" t="n">
        <v>18</v>
      </c>
      <c r="C6" s="21" t="n">
        <v>264.2</v>
      </c>
      <c r="D6" s="23" t="n">
        <v>0.0454</v>
      </c>
      <c r="E6" s="30" t="n">
        <v>0.032</v>
      </c>
    </row>
    <row r="7">
      <c r="A7" s="29" t="n">
        <v>0.5</v>
      </c>
      <c r="B7" s="12" t="n">
        <v>18</v>
      </c>
      <c r="C7" s="21" t="n">
        <v>253.3</v>
      </c>
      <c r="D7" s="23" t="n">
        <v>0.0474</v>
      </c>
      <c r="E7" s="30" t="n">
        <v>0.07200000000000001</v>
      </c>
    </row>
    <row r="8">
      <c r="A8" s="29" t="n">
        <v>0.75</v>
      </c>
      <c r="B8" s="12" t="n">
        <v>18</v>
      </c>
      <c r="C8" s="21" t="n">
        <v>237.9</v>
      </c>
      <c r="D8" s="23" t="n">
        <v>0.0504</v>
      </c>
      <c r="E8" s="30" t="n">
        <v>0.129</v>
      </c>
    </row>
    <row r="9">
      <c r="A9" s="29" t="n">
        <v>1</v>
      </c>
      <c r="B9" s="12" t="n">
        <v>18</v>
      </c>
      <c r="C9" s="21" t="n">
        <v>218.1</v>
      </c>
      <c r="D9" s="23" t="n">
        <v>0.055</v>
      </c>
      <c r="E9" s="30" t="n">
        <v>0.201</v>
      </c>
    </row>
    <row r="11">
      <c r="A11" s="14" t="inlineStr">
        <is>
          <t>A 25% floor funds every governorate for under 4% of the water. That is the recommendation a budget committee can sign.</t>
        </is>
      </c>
    </row>
    <row r="13">
      <c r="A13" s="6" t="inlineStr">
        <is>
          <t>Internal check: a 100% floor should reproduce the area-proportional baseline exactly. It does.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showGridLines="0" workbookViewId="0">
      <selection activeCell="A1" sqref="A1"/>
    </sheetView>
  </sheetViews>
  <sheetFormatPr baseColWidth="8" defaultRowHeight="15"/>
  <cols>
    <col width="15" customWidth="1" min="1" max="1"/>
    <col width="14" customWidth="1" min="2" max="2"/>
    <col width="14" customWidth="1" min="3" max="3"/>
    <col width="11" customWidth="1" min="4" max="4"/>
    <col width="19" customWidth="1" min="5" max="5"/>
  </cols>
  <sheetData>
    <row r="1">
      <c r="A1" s="5" t="inlineStr">
        <is>
          <t>Does targeting still matter at a different budget?</t>
        </is>
      </c>
    </row>
    <row r="2">
      <c r="A2" s="6" t="inlineStr">
        <is>
          <t>The advantage is largest when money is scarcest - the correct economic behaviour, and worth saying out loud.</t>
        </is>
      </c>
    </row>
    <row r="4">
      <c r="A4" s="7" t="inlineStr">
        <is>
          <t>Budget USD</t>
        </is>
      </c>
      <c r="B4" s="7" t="inlineStr">
        <is>
          <t>Targeted Mm3</t>
        </is>
      </c>
      <c r="C4" s="7" t="inlineStr">
        <is>
          <t>Baseline Mm3</t>
        </is>
      </c>
      <c r="D4" s="7" t="inlineStr">
        <is>
          <t>Advantage</t>
        </is>
      </c>
      <c r="E4" s="7" t="inlineStr">
        <is>
          <t>Governorates funded</t>
        </is>
      </c>
    </row>
    <row r="5">
      <c r="A5" s="22" t="n">
        <v>4000000</v>
      </c>
      <c r="B5" s="21" t="n">
        <v>99.02974293333334</v>
      </c>
      <c r="C5" s="21" t="n">
        <v>72.68029240292358</v>
      </c>
      <c r="D5" s="29">
        <f>IF(C5=0,0,B5/C5-1)</f>
        <v/>
      </c>
      <c r="E5" s="12" t="n">
        <v>3</v>
      </c>
    </row>
    <row r="6">
      <c r="A6" s="22" t="n">
        <v>8000000</v>
      </c>
      <c r="B6" s="21" t="n">
        <v>189.471639</v>
      </c>
      <c r="C6" s="21" t="n">
        <v>145.3605848058472</v>
      </c>
      <c r="D6" s="29">
        <f>IF(C6=0,0,B6/C6-1)</f>
        <v/>
      </c>
      <c r="E6" s="12" t="n">
        <v>5</v>
      </c>
    </row>
    <row r="7">
      <c r="A7" s="22" t="n">
        <v>12000000</v>
      </c>
      <c r="B7" s="21" t="n">
        <v>273.018122</v>
      </c>
      <c r="C7" s="21" t="n">
        <v>218.0408772087708</v>
      </c>
      <c r="D7" s="29">
        <f>IF(C7=0,0,B7/C7-1)</f>
        <v/>
      </c>
      <c r="E7" s="12" t="n">
        <v>8</v>
      </c>
    </row>
    <row r="8">
      <c r="A8" s="22" t="n">
        <v>20000000</v>
      </c>
      <c r="B8" s="21" t="n">
        <v>432.4362998666666</v>
      </c>
      <c r="C8" s="21" t="n">
        <v>363.401462014618</v>
      </c>
      <c r="D8" s="29">
        <f>IF(C8=0,0,B8/C8-1)</f>
        <v/>
      </c>
      <c r="E8" s="12" t="n">
        <v>11</v>
      </c>
    </row>
    <row r="9">
      <c r="A9" s="22" t="n">
        <v>30000000</v>
      </c>
      <c r="B9" s="21" t="n">
        <v>621.9612351999999</v>
      </c>
      <c r="C9" s="21" t="n">
        <v>545.1021930219268</v>
      </c>
      <c r="D9" s="29">
        <f>IF(C9=0,0,B9/C9-1)</f>
        <v/>
      </c>
      <c r="E9" s="12" t="n">
        <v>14</v>
      </c>
    </row>
    <row r="10">
      <c r="A10" s="22" t="n">
        <v>50000000</v>
      </c>
      <c r="B10" s="21" t="n">
        <v>927.0083818666667</v>
      </c>
      <c r="C10" s="21" t="n">
        <v>908.5036550365448</v>
      </c>
      <c r="D10" s="29">
        <f>IF(C10=0,0,B10/C10-1)</f>
        <v/>
      </c>
      <c r="E10" s="12" t="n">
        <v>17</v>
      </c>
    </row>
    <row r="11">
      <c r="A11" s="22" t="n">
        <v>80000000</v>
      </c>
      <c r="B11" s="21" t="n">
        <v>969.1437302</v>
      </c>
      <c r="C11" s="21" t="n">
        <v>969.1437302</v>
      </c>
      <c r="D11" s="29">
        <f>IF(C11=0,0,B11/C11-1)</f>
        <v/>
      </c>
      <c r="E11" s="1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2026-08-19T20:48:31Z</dcterms:created>
  <dcterms:modified xmlns:dcterms="http://purl.org/dc/terms/" xmlns:xsi="http://www.w3.org/2001/XMLSchema-instance" xsi:type="dcterms:W3CDTF">2026-08-19T20:48:31Z</dcterms:modified>
</cp:coreProperties>
</file>